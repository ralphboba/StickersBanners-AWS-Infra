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 Table" sheetId="1" state="visible" r:id="rId1"/>
    <sheet name="Upgrade Calculator" sheetId="2" state="visible" r:id="rId2"/>
    <sheet name="Upgrade Matrix" sheetId="3" state="visible" r:id="rId3"/>
    <sheet name="Verification" sheetId="4" state="visible" r:id="rId4"/>
    <sheet name="Notes" sheetId="5" state="visible" r:id="rId5"/>
  </sheets>
  <definedNames/>
  <calcPr calcId="124519" fullCalcOnLoad="1"/>
</workbook>
</file>

<file path=xl/styles.xml><?xml version="1.0" encoding="utf-8"?>
<styleSheet xmlns="http://schemas.openxmlformats.org/spreadsheetml/2006/main">
  <numFmts count="1">
    <numFmt numFmtId="164" formatCode="$#,##0.00"/>
  </numFmts>
  <fonts count="15">
    <font>
      <name val="Calibri"/>
      <family val="2"/>
      <color theme="1"/>
      <sz val="11"/>
      <scheme val="minor"/>
    </font>
    <font>
      <name val="Arial"/>
      <b val="1"/>
      <color rgb="00000000"/>
      <sz val="13"/>
    </font>
    <font>
      <name val="Arial"/>
      <i val="1"/>
      <color rgb="00595959"/>
      <sz val="9"/>
    </font>
    <font>
      <name val="Arial"/>
      <b val="1"/>
      <color rgb="00000000"/>
      <sz val="10"/>
    </font>
    <font>
      <name val="Arial"/>
      <color rgb="00000000"/>
      <sz val="10"/>
    </font>
    <font>
      <name val="Arial"/>
      <color rgb="00C00000"/>
      <sz val="9"/>
    </font>
    <font>
      <name val="Arial"/>
      <color rgb="00808080"/>
      <sz val="9"/>
    </font>
    <font>
      <name val="Arial"/>
      <color rgb="000000FF"/>
      <sz val="10"/>
    </font>
    <font>
      <name val="Arial"/>
      <i val="1"/>
      <color rgb="00808080"/>
      <sz val="9"/>
    </font>
    <font>
      <name val="Arial"/>
      <b val="1"/>
      <color rgb="00000000"/>
      <sz val="11"/>
    </font>
    <font>
      <name val="Arial"/>
      <b val="1"/>
      <color rgb="00000000"/>
      <sz val="12"/>
    </font>
    <font>
      <name val="Arial"/>
      <color rgb="00C00000"/>
      <sz val="10"/>
    </font>
    <font>
      <name val="Arial"/>
      <color rgb="00595959"/>
      <sz val="9"/>
    </font>
    <font>
      <name val="Arial"/>
      <color rgb="00808080"/>
      <sz val="10"/>
    </font>
    <font>
      <name val="Arial"/>
      <b val="1"/>
      <color rgb="00C00000"/>
      <sz val="11"/>
    </font>
  </fonts>
  <fills count="9">
    <fill>
      <patternFill/>
    </fill>
    <fill>
      <patternFill patternType="gray125"/>
    </fill>
    <fill>
      <patternFill patternType="solid">
        <fgColor rgb="00D9D9D9"/>
      </patternFill>
    </fill>
    <fill>
      <patternFill patternType="solid">
        <fgColor rgb="00C6EFCE"/>
      </patternFill>
    </fill>
    <fill>
      <patternFill patternType="solid">
        <fgColor rgb="00BDD7EE"/>
      </patternFill>
    </fill>
    <fill>
      <patternFill patternType="solid">
        <fgColor rgb="00F4C7E4"/>
      </patternFill>
    </fill>
    <fill>
      <patternFill patternType="solid">
        <fgColor rgb="00F8CBAD"/>
      </patternFill>
    </fill>
    <fill>
      <patternFill patternType="solid">
        <fgColor rgb="00FFFF00"/>
      </patternFill>
    </fill>
    <fill>
      <patternFill patternType="solid">
        <fgColor rgb="00E1EDE3"/>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164" fontId="4" fillId="0" borderId="1" pivotButton="0" quotePrefix="0" xfId="0"/>
    <xf numFmtId="0" fontId="4" fillId="0" borderId="1" pivotButton="0" quotePrefix="0" xfId="0"/>
    <xf numFmtId="0" fontId="6" fillId="0" borderId="0" pivotButton="0" quotePrefix="0" xfId="0"/>
    <xf numFmtId="0" fontId="5" fillId="0" borderId="0" pivotButton="0" quotePrefix="0" xfId="0"/>
    <xf numFmtId="0" fontId="3" fillId="0" borderId="0" pivotButton="0" quotePrefix="0" xfId="0"/>
    <xf numFmtId="164" fontId="7" fillId="7" borderId="1" pivotButton="0" quotePrefix="0" xfId="0"/>
    <xf numFmtId="0" fontId="8" fillId="0" borderId="0" pivotButton="0" quotePrefix="0" xfId="0"/>
    <xf numFmtId="0" fontId="7" fillId="7" borderId="1" pivotButton="0" quotePrefix="0" xfId="0"/>
    <xf numFmtId="0" fontId="9" fillId="0" borderId="0" pivotButton="0" quotePrefix="0" xfId="0"/>
    <xf numFmtId="0" fontId="4" fillId="0" borderId="0" pivotButton="0" quotePrefix="0" xfId="0"/>
    <xf numFmtId="0" fontId="10" fillId="0" borderId="0" pivotButton="0" quotePrefix="0" xfId="0"/>
    <xf numFmtId="164" fontId="10" fillId="8" borderId="1" pivotButton="0" quotePrefix="0" xfId="0"/>
    <xf numFmtId="0" fontId="11" fillId="0" borderId="0" pivotButton="0" quotePrefix="0" xfId="0"/>
    <xf numFmtId="0" fontId="12" fillId="0" borderId="0" pivotButton="0" quotePrefix="0" xfId="0"/>
    <xf numFmtId="0" fontId="3" fillId="0" borderId="1" applyAlignment="1" pivotButton="0" quotePrefix="0" xfId="0">
      <alignment horizontal="center" wrapText="1"/>
    </xf>
    <xf numFmtId="0" fontId="4" fillId="0" borderId="1" applyAlignment="1" pivotButton="0" quotePrefix="0" xfId="0">
      <alignment horizontal="center"/>
    </xf>
    <xf numFmtId="0" fontId="13" fillId="0" borderId="0" pivotButton="0" quotePrefix="0" xfId="0"/>
    <xf numFmtId="0" fontId="14"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transcription</author>
  </authors>
  <commentList>
    <comment ref="C4" authorId="0" shapeId="0">
      <text>
        <t>원본에서 $37.00~$98.00 구간 3개 행의 Ground 요금이 비어 있음.
무료배송인지 Ground 미제공인지 미확인 — Danny 확인 필요.</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38"/>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3" customWidth="1" min="3" max="3"/>
    <col width="13" customWidth="1" min="4" max="4"/>
    <col width="13" customWidth="1" min="5" max="5"/>
    <col width="17" customWidth="1" min="6" max="6"/>
    <col width="19" customWidth="1" min="7" max="7"/>
    <col width="62" customWidth="1" min="8" max="8"/>
  </cols>
  <sheetData>
    <row r="1">
      <c r="A1" s="1" t="inlineStr">
        <is>
          <t>FedEx Shipping Rates — 주문 금액 구간별 배송 등급 요금</t>
        </is>
      </c>
    </row>
    <row r="2">
      <c r="A2" s="2" t="inlineStr">
        <is>
          <t>Source: FedEx 제공 요금표 PDF (fc0c0399-1.pdf, 1 page). 2026-09-10 전사. 값은 전액(full price)이며 업그레이드 추가요금이 아님.</t>
        </is>
      </c>
    </row>
    <row r="4" ht="30" customHeight="1">
      <c r="A4" s="3" t="inlineStr">
        <is>
          <t>From</t>
        </is>
      </c>
      <c r="B4" s="3" t="inlineStr">
        <is>
          <t>To</t>
        </is>
      </c>
      <c r="C4" s="4" t="inlineStr">
        <is>
          <t>Ground</t>
        </is>
      </c>
      <c r="D4" s="5" t="inlineStr">
        <is>
          <t>3-Day</t>
        </is>
      </c>
      <c r="E4" s="6" t="inlineStr">
        <is>
          <t>2-Day</t>
        </is>
      </c>
      <c r="F4" s="7" t="inlineStr">
        <is>
          <t>1-Day Economical</t>
        </is>
      </c>
      <c r="G4" s="8" t="inlineStr">
        <is>
          <t>Sat-Overnight Rush</t>
        </is>
      </c>
      <c r="H4" s="3" t="inlineStr">
        <is>
          <t>Note</t>
        </is>
      </c>
    </row>
    <row r="5">
      <c r="A5" s="9" t="n">
        <v>1</v>
      </c>
      <c r="B5" s="9" t="n">
        <v>37</v>
      </c>
      <c r="C5" s="9" t="n">
        <v>15.7</v>
      </c>
      <c r="D5" s="9" t="n">
        <v>33.08</v>
      </c>
      <c r="E5" s="9" t="n">
        <v>49.56</v>
      </c>
      <c r="F5" s="9" t="n">
        <v>89.25</v>
      </c>
      <c r="G5" s="9" t="n">
        <v>122.33</v>
      </c>
    </row>
    <row r="6">
      <c r="A6" s="9" t="n">
        <v>37</v>
      </c>
      <c r="B6" s="9" t="n">
        <v>52</v>
      </c>
      <c r="C6" s="10" t="n"/>
      <c r="D6" s="9" t="n">
        <v>38.54</v>
      </c>
      <c r="E6" s="9" t="n">
        <v>58.38</v>
      </c>
      <c r="F6" s="9" t="n">
        <v>93.66</v>
      </c>
      <c r="G6" s="9" t="n">
        <v>126.74</v>
      </c>
    </row>
    <row r="7">
      <c r="A7" s="9" t="n">
        <v>52</v>
      </c>
      <c r="B7" s="9" t="n">
        <v>74</v>
      </c>
      <c r="C7" s="10" t="n"/>
      <c r="D7" s="9" t="n">
        <v>44.05</v>
      </c>
      <c r="E7" s="9" t="n">
        <v>69.41</v>
      </c>
      <c r="F7" s="9" t="n">
        <v>100.28</v>
      </c>
      <c r="G7" s="9" t="n">
        <v>133.35</v>
      </c>
    </row>
    <row r="8">
      <c r="A8" s="9" t="n">
        <v>74</v>
      </c>
      <c r="B8" s="9" t="n">
        <v>98</v>
      </c>
      <c r="C8" s="10" t="n"/>
      <c r="D8" s="9" t="n">
        <v>48.45</v>
      </c>
      <c r="E8" s="9" t="n">
        <v>76.81</v>
      </c>
      <c r="F8" s="9" t="n">
        <v>113.01</v>
      </c>
      <c r="G8" s="9" t="n">
        <v>146.09</v>
      </c>
      <c r="H8" s="11" t="inlineStr">
        <is>
          <t>구간 틈: TO=$98.00 → 다음 FROM=$98.01</t>
        </is>
      </c>
    </row>
    <row r="9">
      <c r="A9" s="9" t="n">
        <v>98.01000000000001</v>
      </c>
      <c r="B9" s="9" t="n">
        <v>119</v>
      </c>
      <c r="C9" s="9" t="n">
        <v>20.95</v>
      </c>
      <c r="D9" s="9" t="n">
        <v>53.54</v>
      </c>
      <c r="E9" s="9" t="n">
        <v>83.97</v>
      </c>
      <c r="F9" s="9" t="n">
        <v>126.74</v>
      </c>
      <c r="G9" s="9" t="n">
        <v>159.81</v>
      </c>
    </row>
    <row r="10">
      <c r="A10" s="9" t="n">
        <v>119</v>
      </c>
      <c r="B10" s="9" t="n">
        <v>134</v>
      </c>
      <c r="C10" s="9" t="n">
        <v>25.15</v>
      </c>
      <c r="D10" s="9" t="n">
        <v>77.91</v>
      </c>
      <c r="E10" s="9" t="n">
        <v>118.19</v>
      </c>
      <c r="F10" s="9" t="n">
        <v>148.79</v>
      </c>
      <c r="G10" s="9" t="n">
        <v>181.86</v>
      </c>
    </row>
    <row r="11">
      <c r="A11" s="9" t="n">
        <v>134</v>
      </c>
      <c r="B11" s="9" t="n">
        <v>194</v>
      </c>
      <c r="C11" s="9" t="n">
        <v>25.67</v>
      </c>
      <c r="D11" s="9" t="n">
        <v>86.73</v>
      </c>
      <c r="E11" s="9" t="n">
        <v>128.11</v>
      </c>
      <c r="F11" s="9" t="n">
        <v>162.07</v>
      </c>
      <c r="G11" s="9" t="n">
        <v>195.14</v>
      </c>
    </row>
    <row r="12">
      <c r="A12" s="9" t="n">
        <v>194</v>
      </c>
      <c r="B12" s="9" t="n">
        <v>238</v>
      </c>
      <c r="C12" s="9" t="n">
        <v>26.2</v>
      </c>
      <c r="D12" s="9" t="n">
        <v>92.83</v>
      </c>
      <c r="E12" s="9" t="n">
        <v>139.14</v>
      </c>
      <c r="F12" s="9" t="n">
        <v>192.06</v>
      </c>
      <c r="G12" s="9" t="n">
        <v>225.13</v>
      </c>
    </row>
    <row r="13">
      <c r="A13" s="9" t="n">
        <v>238</v>
      </c>
      <c r="B13" s="9" t="n">
        <v>246</v>
      </c>
      <c r="C13" s="9" t="n">
        <v>27.25</v>
      </c>
      <c r="D13" s="9" t="n">
        <v>96.47</v>
      </c>
      <c r="E13" s="9" t="n">
        <v>144.24</v>
      </c>
      <c r="F13" s="9" t="n">
        <v>199.36</v>
      </c>
      <c r="G13" s="9" t="n">
        <v>232.44</v>
      </c>
    </row>
    <row r="14">
      <c r="A14" s="9" t="n">
        <v>246</v>
      </c>
      <c r="B14" s="9" t="n">
        <v>300</v>
      </c>
      <c r="C14" s="9" t="n">
        <v>29.35</v>
      </c>
      <c r="D14" s="9" t="n">
        <v>114.66</v>
      </c>
      <c r="E14" s="9" t="n">
        <v>169.79</v>
      </c>
      <c r="F14" s="9" t="n">
        <v>235.94</v>
      </c>
      <c r="G14" s="9" t="n">
        <v>269.01</v>
      </c>
    </row>
    <row r="15">
      <c r="A15" s="9" t="n">
        <v>300</v>
      </c>
      <c r="B15" s="9" t="n">
        <v>343</v>
      </c>
      <c r="C15" s="9" t="n">
        <v>31.45</v>
      </c>
      <c r="D15" s="9" t="n">
        <v>132.86</v>
      </c>
      <c r="E15" s="9" t="n">
        <v>195.33</v>
      </c>
      <c r="F15" s="9" t="n">
        <v>272.51</v>
      </c>
      <c r="G15" s="9" t="n">
        <v>305.58</v>
      </c>
    </row>
    <row r="16">
      <c r="A16" s="9" t="n">
        <v>343</v>
      </c>
      <c r="B16" s="9" t="n">
        <v>395</v>
      </c>
      <c r="C16" s="9" t="n">
        <v>33.55</v>
      </c>
      <c r="D16" s="9" t="n">
        <v>151.04</v>
      </c>
      <c r="E16" s="9" t="n">
        <v>220.87</v>
      </c>
      <c r="F16" s="9" t="n">
        <v>309.07</v>
      </c>
      <c r="G16" s="9" t="n">
        <v>342.14</v>
      </c>
    </row>
    <row r="17">
      <c r="A17" s="9" t="n">
        <v>395</v>
      </c>
      <c r="B17" s="9" t="n">
        <v>447</v>
      </c>
      <c r="C17" s="9" t="n">
        <v>36.7</v>
      </c>
      <c r="D17" s="9" t="n">
        <v>169.24</v>
      </c>
      <c r="E17" s="9" t="n">
        <v>246.41</v>
      </c>
      <c r="F17" s="9" t="n">
        <v>345.64</v>
      </c>
      <c r="G17" s="9" t="n">
        <v>378.71</v>
      </c>
    </row>
    <row r="18">
      <c r="A18" s="9" t="n">
        <v>447</v>
      </c>
      <c r="B18" s="9" t="n">
        <v>521</v>
      </c>
      <c r="C18" s="9" t="n">
        <v>43</v>
      </c>
      <c r="D18" s="9" t="n">
        <v>187.43</v>
      </c>
      <c r="E18" s="9" t="n">
        <v>271.95</v>
      </c>
      <c r="F18" s="9" t="n">
        <v>382.2</v>
      </c>
      <c r="G18" s="9" t="n">
        <v>415.28</v>
      </c>
      <c r="H18" s="12" t="inlineStr">
        <is>
          <t>⚠ 구간 틈: 앞 행 TO=$521.00, 이 행 FROM=$522.00</t>
        </is>
      </c>
    </row>
    <row r="19">
      <c r="A19" s="9" t="n">
        <v>522</v>
      </c>
      <c r="B19" s="9" t="n">
        <v>596</v>
      </c>
      <c r="C19" s="9" t="n">
        <v>47.2</v>
      </c>
      <c r="D19" s="9" t="n">
        <v>223.81</v>
      </c>
      <c r="E19" s="9" t="n">
        <v>323.03</v>
      </c>
      <c r="F19" s="9" t="n">
        <v>455.33</v>
      </c>
      <c r="G19" s="9" t="n">
        <v>488.41</v>
      </c>
    </row>
    <row r="20">
      <c r="A20" s="9" t="n">
        <v>596</v>
      </c>
      <c r="B20" s="9" t="n">
        <v>700</v>
      </c>
      <c r="C20" s="9" t="n">
        <v>52.45</v>
      </c>
      <c r="D20" s="9" t="n">
        <v>260.19</v>
      </c>
      <c r="E20" s="9" t="n">
        <v>374.12</v>
      </c>
      <c r="F20" s="9" t="n">
        <v>528.47</v>
      </c>
      <c r="G20" s="9" t="n">
        <v>561.54</v>
      </c>
    </row>
    <row r="21">
      <c r="A21" s="9" t="n">
        <v>700</v>
      </c>
      <c r="B21" s="9" t="n">
        <v>790</v>
      </c>
      <c r="C21" s="9" t="n">
        <v>61.9</v>
      </c>
      <c r="D21" s="9" t="n">
        <v>296.57</v>
      </c>
      <c r="E21" s="9" t="n">
        <v>425.2</v>
      </c>
      <c r="F21" s="9" t="n">
        <v>601.6</v>
      </c>
      <c r="G21" s="9" t="n">
        <v>634.67</v>
      </c>
    </row>
    <row r="22">
      <c r="A22" s="9" t="n">
        <v>790</v>
      </c>
      <c r="B22" s="9" t="n">
        <v>894</v>
      </c>
      <c r="C22" s="9" t="n">
        <v>71.34999999999999</v>
      </c>
      <c r="D22" s="9" t="n">
        <v>332.96</v>
      </c>
      <c r="E22" s="9" t="n">
        <v>476.28</v>
      </c>
      <c r="F22" s="9" t="n">
        <v>674.73</v>
      </c>
      <c r="G22" s="9" t="n">
        <v>707.8099999999999</v>
      </c>
    </row>
    <row r="23">
      <c r="A23" s="9" t="n">
        <v>894</v>
      </c>
      <c r="B23" s="9" t="n">
        <v>968</v>
      </c>
      <c r="C23" s="9" t="n">
        <v>80.8</v>
      </c>
      <c r="D23" s="9" t="n">
        <v>369.34</v>
      </c>
      <c r="E23" s="9" t="n">
        <v>527.36</v>
      </c>
      <c r="F23" s="9" t="n">
        <v>747.86</v>
      </c>
      <c r="G23" s="9" t="n">
        <v>870.9400000000001</v>
      </c>
      <c r="H23" s="12" t="inlineStr">
        <is>
          <t>⚠ 원본 이상치: Sat-Overnight $870.94 — 다른 모든 행은 1-Day+$33.07. 기대값 $780.94</t>
        </is>
      </c>
    </row>
    <row r="24">
      <c r="A24" s="9" t="n">
        <v>968</v>
      </c>
      <c r="B24" s="9" t="n">
        <v>1117</v>
      </c>
      <c r="C24" s="9" t="n">
        <v>90.25</v>
      </c>
      <c r="D24" s="9" t="n">
        <v>405.72</v>
      </c>
      <c r="E24" s="9" t="n">
        <v>578.45</v>
      </c>
      <c r="F24" s="9" t="n">
        <v>821</v>
      </c>
      <c r="G24" s="9" t="n">
        <v>854.0700000000001</v>
      </c>
    </row>
    <row r="25">
      <c r="A25" s="9" t="n">
        <v>1117</v>
      </c>
      <c r="B25" s="9" t="n">
        <v>1266</v>
      </c>
      <c r="C25" s="9" t="n">
        <v>109.15</v>
      </c>
      <c r="D25" s="9" t="n">
        <v>478.49</v>
      </c>
      <c r="E25" s="9" t="n">
        <v>680.61</v>
      </c>
      <c r="F25" s="9" t="n">
        <v>967.29</v>
      </c>
      <c r="G25" s="9" t="n">
        <v>1000.34</v>
      </c>
    </row>
    <row r="26">
      <c r="A26" s="9" t="n">
        <v>1266</v>
      </c>
      <c r="B26" s="9" t="n">
        <v>1490</v>
      </c>
      <c r="C26" s="9" t="n">
        <v>128.05</v>
      </c>
      <c r="D26" s="9" t="n">
        <v>551.25</v>
      </c>
      <c r="E26" s="9" t="n">
        <v>782.78</v>
      </c>
      <c r="F26" s="9" t="n">
        <v>1113.53</v>
      </c>
      <c r="G26" s="9" t="n">
        <v>1146.6</v>
      </c>
    </row>
    <row r="27">
      <c r="A27" s="9" t="n">
        <v>1490</v>
      </c>
      <c r="B27" s="9" t="n">
        <v>1684</v>
      </c>
      <c r="C27" s="9" t="n">
        <v>146.95</v>
      </c>
      <c r="D27" s="9" t="n">
        <v>624.02</v>
      </c>
      <c r="E27" s="9" t="n">
        <v>884.9400000000001</v>
      </c>
      <c r="F27" s="9" t="n">
        <v>1259.79</v>
      </c>
      <c r="G27" s="9" t="n">
        <v>1292.87</v>
      </c>
    </row>
    <row r="28">
      <c r="A28" s="9" t="n">
        <v>1684</v>
      </c>
      <c r="B28" s="9" t="n">
        <v>1877</v>
      </c>
      <c r="C28" s="9" t="n">
        <v>165.85</v>
      </c>
      <c r="D28" s="9" t="n">
        <v>696.78</v>
      </c>
      <c r="E28" s="9" t="n">
        <v>987.11</v>
      </c>
      <c r="F28" s="9" t="n">
        <v>1406.06</v>
      </c>
      <c r="G28" s="9" t="n">
        <v>1439.13</v>
      </c>
    </row>
    <row r="29">
      <c r="A29" s="9" t="n">
        <v>1877</v>
      </c>
      <c r="B29" s="9" t="n">
        <v>2086</v>
      </c>
      <c r="C29" s="9" t="n">
        <v>184.75</v>
      </c>
      <c r="D29" s="9" t="n">
        <v>769.55</v>
      </c>
      <c r="E29" s="9" t="n">
        <v>1089.27</v>
      </c>
      <c r="F29" s="9" t="n">
        <v>1552.32</v>
      </c>
      <c r="G29" s="9" t="n">
        <v>1585.4</v>
      </c>
    </row>
    <row r="30">
      <c r="A30" s="9" t="n">
        <v>2086</v>
      </c>
      <c r="B30" s="9" t="n">
        <v>2280</v>
      </c>
      <c r="C30" s="9" t="n">
        <v>203.65</v>
      </c>
      <c r="D30" s="9" t="n">
        <v>842.3099999999999</v>
      </c>
      <c r="E30" s="9" t="n">
        <v>1191.44</v>
      </c>
      <c r="F30" s="9" t="n">
        <v>1698.59</v>
      </c>
      <c r="G30" s="9" t="n">
        <v>1731.66</v>
      </c>
    </row>
    <row r="31">
      <c r="A31" s="9" t="n">
        <v>2280</v>
      </c>
      <c r="B31" s="9" t="n">
        <v>2459</v>
      </c>
      <c r="C31" s="9" t="n">
        <v>215.2</v>
      </c>
      <c r="D31" s="9" t="n">
        <v>915.08</v>
      </c>
      <c r="E31" s="9" t="n">
        <v>1293.6</v>
      </c>
      <c r="F31" s="9" t="n">
        <v>1844.85</v>
      </c>
      <c r="G31" s="9" t="n">
        <v>1877.93</v>
      </c>
    </row>
    <row r="32">
      <c r="A32" s="9" t="n">
        <v>2459</v>
      </c>
      <c r="B32" s="9" t="n">
        <v>2980</v>
      </c>
      <c r="C32" s="9" t="n">
        <v>234.68</v>
      </c>
      <c r="D32" s="9" t="n">
        <v>1096.99</v>
      </c>
      <c r="E32" s="9" t="n">
        <v>1549.01</v>
      </c>
      <c r="F32" s="9" t="n">
        <v>2210.51</v>
      </c>
      <c r="G32" s="9" t="n">
        <v>2243.59</v>
      </c>
    </row>
    <row r="33">
      <c r="A33" s="9" t="n">
        <v>2980</v>
      </c>
      <c r="B33" s="9" t="n">
        <v>3874</v>
      </c>
      <c r="C33" s="9" t="n">
        <v>254.63</v>
      </c>
      <c r="D33" s="9" t="n">
        <v>1460.81</v>
      </c>
      <c r="E33" s="9" t="n">
        <v>2059.84</v>
      </c>
      <c r="F33" s="9" t="n">
        <v>2941.84</v>
      </c>
      <c r="G33" s="9" t="n">
        <v>2974.91</v>
      </c>
    </row>
    <row r="34">
      <c r="A34" s="9" t="n">
        <v>3874</v>
      </c>
      <c r="B34" s="9" t="n">
        <v>4960</v>
      </c>
      <c r="C34" s="9" t="n">
        <v>304.5</v>
      </c>
      <c r="D34" s="9" t="n">
        <v>1824.64</v>
      </c>
      <c r="E34" s="9" t="n">
        <v>2570.66</v>
      </c>
      <c r="F34" s="9" t="n">
        <v>3673.16</v>
      </c>
      <c r="G34" s="9" t="n">
        <v>3706.24</v>
      </c>
    </row>
    <row r="35">
      <c r="A35" s="9" t="n">
        <v>4960</v>
      </c>
      <c r="B35" s="9" t="n">
        <v>6945</v>
      </c>
      <c r="C35" s="9" t="n">
        <v>404.25</v>
      </c>
      <c r="D35" s="9" t="n">
        <v>2552.29</v>
      </c>
      <c r="E35" s="9" t="n">
        <v>3592.31</v>
      </c>
      <c r="F35" s="9" t="n">
        <v>5135.81</v>
      </c>
      <c r="G35" s="9" t="n">
        <v>5168.89</v>
      </c>
    </row>
    <row r="36">
      <c r="A36" s="9" t="n">
        <v>6945</v>
      </c>
      <c r="B36" s="9" t="n">
        <v>8940</v>
      </c>
      <c r="C36" s="9" t="n">
        <v>504</v>
      </c>
      <c r="D36" s="9" t="n">
        <v>3279.94</v>
      </c>
      <c r="E36" s="9" t="n">
        <v>4613.96</v>
      </c>
      <c r="F36" s="9" t="n">
        <v>6598.46</v>
      </c>
      <c r="G36" s="9" t="n">
        <v>6631.54</v>
      </c>
    </row>
    <row r="37">
      <c r="A37" s="9" t="n">
        <v>8940</v>
      </c>
      <c r="B37" s="9" t="n">
        <v>9685</v>
      </c>
      <c r="C37" s="9" t="n">
        <v>703.5</v>
      </c>
      <c r="D37" s="9" t="n">
        <v>3643.76</v>
      </c>
      <c r="E37" s="9" t="n">
        <v>5124.79</v>
      </c>
      <c r="F37" s="9" t="n">
        <v>7329.79</v>
      </c>
      <c r="G37" s="9" t="n">
        <v>7362.86</v>
      </c>
    </row>
    <row r="38">
      <c r="A38" s="9" t="n">
        <v>9685</v>
      </c>
      <c r="B38" s="9" t="n">
        <v>99999</v>
      </c>
      <c r="C38" s="9" t="n">
        <v>903</v>
      </c>
      <c r="D38" s="9" t="n">
        <v>3825.68</v>
      </c>
      <c r="E38" s="9" t="n">
        <v>5461.79</v>
      </c>
      <c r="F38" s="9" t="n">
        <v>7678.91</v>
      </c>
      <c r="G38" s="9" t="n">
        <v>7711.99</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0" customWidth="1" min="1" max="1"/>
    <col width="26" customWidth="1" min="2" max="2"/>
    <col width="40" customWidth="1" min="3" max="3"/>
  </cols>
  <sheetData>
    <row r="1">
      <c r="A1" s="1" t="inlineStr">
        <is>
          <t>배송 업그레이드 추가요금 계산기</t>
        </is>
      </c>
    </row>
    <row r="2">
      <c r="A2" s="2" t="inlineStr">
        <is>
          <t>노란색 칸만 입력하세요. 추가요금 = (새 등급 요금) − (현재 등급 요금).</t>
        </is>
      </c>
    </row>
    <row r="4">
      <c r="A4" s="13" t="inlineStr">
        <is>
          <t>주문 subtotal (세금·배송비 전)</t>
        </is>
      </c>
      <c r="B4" s="14" t="n">
        <v>150</v>
      </c>
      <c r="C4" s="15" t="inlineStr">
        <is>
          <t>← 세금·배송비를 뺀 상품 소계. Kai 확인 (2026-09-10)</t>
        </is>
      </c>
    </row>
    <row r="5">
      <c r="A5" s="13" t="inlineStr">
        <is>
          <t>현재 배송 등급</t>
        </is>
      </c>
      <c r="B5" s="16" t="inlineStr">
        <is>
          <t>2-Day</t>
        </is>
      </c>
    </row>
    <row r="6">
      <c r="A6" s="13" t="inlineStr">
        <is>
          <t>변경할 배송 등급</t>
        </is>
      </c>
      <c r="B6" s="16" t="inlineStr">
        <is>
          <t>1-Day Economical</t>
        </is>
      </c>
    </row>
    <row r="8">
      <c r="A8" s="17" t="inlineStr">
        <is>
          <t>계산 결과</t>
        </is>
      </c>
    </row>
    <row r="9">
      <c r="A9" s="18" t="inlineStr">
        <is>
          <t>적용 구간 (From)</t>
        </is>
      </c>
      <c r="B9" s="9">
        <f>INDEX('Rate Table'!$A$5:$A$38,MATCH($B$4,'Rate Table'!$A$5:$A$38,1))</f>
        <v/>
      </c>
    </row>
    <row r="10">
      <c r="A10" s="18" t="inlineStr">
        <is>
          <t>적용 구간 (To)</t>
        </is>
      </c>
      <c r="B10" s="9">
        <f>INDEX('Rate Table'!$B$5:$B$38,MATCH($B$4,'Rate Table'!$A$5:$A$38,1))</f>
        <v/>
      </c>
    </row>
    <row r="11">
      <c r="A11" s="18" t="inlineStr">
        <is>
          <t>현재 등급 요금</t>
        </is>
      </c>
      <c r="B11" s="9">
        <f>INDEX('Rate Table'!$C$5:$G$38,MATCH($B$4,'Rate Table'!$A$5:$A$38,1),MATCH($B$5,'Rate Table'!$C$4:$G$4,0))</f>
        <v/>
      </c>
    </row>
    <row r="12">
      <c r="A12" s="18" t="inlineStr">
        <is>
          <t>새 등급 요금</t>
        </is>
      </c>
      <c r="B12" s="9">
        <f>INDEX('Rate Table'!$C$5:$G$38,MATCH($B$4,'Rate Table'!$A$5:$A$38,1),MATCH($B$6,'Rate Table'!$C$4:$G$4,0))</f>
        <v/>
      </c>
    </row>
    <row r="14">
      <c r="A14" s="19" t="inlineStr">
        <is>
          <t>고객에게 청구할 추가요금</t>
        </is>
      </c>
      <c r="B14" s="20">
        <f>ROUND(B12-B11,2)</f>
        <v/>
      </c>
    </row>
    <row r="16">
      <c r="A16" s="13" t="inlineStr">
        <is>
          <t>경고</t>
        </is>
      </c>
      <c r="B16" s="21">
        <f>IF(OR($B$11=0,$B$12=0),"⚠ 이 구간에 해당 등급 요금이 없습니다 (Ground 공란 구간)",IF($B$14&lt;=0,"⚠ 업그레이드가 아닙니다 (차액 0 이하)","OK"))</f>
        <v/>
      </c>
    </row>
    <row r="18">
      <c r="A18" s="13" t="inlineStr">
        <is>
          <t>구간 판정 규칙</t>
        </is>
      </c>
      <c r="B18" s="22" t="inlineStr">
        <is>
          <t>From ≤ 주문금액 (다음 구간 From 미만). 원본의 구간 틈 2곳은 아래 구간으로 흡수됨.</t>
        </is>
      </c>
    </row>
    <row r="19">
      <c r="A19" s="13" t="inlineStr">
        <is>
          <t>제외 옵션</t>
        </is>
      </c>
      <c r="B19" s="12" t="inlineStr">
        <is>
          <t>NEXT DAY(STANDARD/EARLY)는 원본에 'VARIES BY LOC.'로만 표기 — 자동 계산 불가. SAT-OVERNIGHT은 도시별 가능 여부 확인 필요, 금요일 Express 주문에만 해당.</t>
        </is>
      </c>
    </row>
  </sheetData>
  <dataValidations count="1">
    <dataValidation sqref="B5 B6" showDropDown="0" showInputMessage="0" showErrorMessage="0" allowBlank="0" type="list">
      <formula1>"Ground,3-Day,2-Day,1-Day Economical,Sat-Overnight Rush"</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6" customWidth="1" min="3" max="3"/>
    <col width="16" customWidth="1" min="4" max="4"/>
    <col width="22" customWidth="1" min="5" max="5"/>
    <col width="16" customWidth="1" min="6" max="6"/>
    <col width="22" customWidth="1" min="7" max="7"/>
    <col width="22" customWidth="1" min="8" max="8"/>
  </cols>
  <sheetData>
    <row r="1">
      <c r="A1" s="1" t="inlineStr">
        <is>
          <t>구간별 업그레이드 추가요금 (전 조합)</t>
        </is>
      </c>
    </row>
    <row r="2">
      <c r="A2" s="2" t="inlineStr">
        <is>
          <t>각 셀 = (도착 등급 요금) − (출발 등급 요금). 음수/0은 업그레이드가 아님.</t>
        </is>
      </c>
    </row>
    <row r="4" ht="28" customHeight="1">
      <c r="A4" s="23" t="inlineStr">
        <is>
          <t>From</t>
        </is>
      </c>
      <c r="B4" s="23" t="inlineStr">
        <is>
          <t>To</t>
        </is>
      </c>
      <c r="C4" s="23" t="inlineStr">
        <is>
          <t>Ground → 3-Day</t>
        </is>
      </c>
      <c r="D4" s="23" t="inlineStr">
        <is>
          <t>Ground → 2-Day</t>
        </is>
      </c>
      <c r="E4" s="23" t="inlineStr">
        <is>
          <t>Ground → 1-Day Economical</t>
        </is>
      </c>
      <c r="F4" s="23" t="inlineStr">
        <is>
          <t>3-Day → 2-Day</t>
        </is>
      </c>
      <c r="G4" s="23" t="inlineStr">
        <is>
          <t>3-Day → 1-Day Economical</t>
        </is>
      </c>
      <c r="H4" s="23" t="inlineStr">
        <is>
          <t>2-Day → 1-Day Economical</t>
        </is>
      </c>
    </row>
    <row r="5">
      <c r="A5" s="9">
        <f>'Rate Table'!A5</f>
        <v/>
      </c>
      <c r="B5" s="9">
        <f>'Rate Table'!B5</f>
        <v/>
      </c>
      <c r="C5" s="9">
        <f>IF(OR('Rate Table'!C5="",'Rate Table'!D5=""),"",ROUND('Rate Table'!D5-'Rate Table'!C5,2))</f>
        <v/>
      </c>
      <c r="D5" s="9">
        <f>IF(OR('Rate Table'!C5="",'Rate Table'!E5=""),"",ROUND('Rate Table'!E5-'Rate Table'!C5,2))</f>
        <v/>
      </c>
      <c r="E5" s="9">
        <f>IF(OR('Rate Table'!C5="",'Rate Table'!F5=""),"",ROUND('Rate Table'!F5-'Rate Table'!C5,2))</f>
        <v/>
      </c>
      <c r="F5" s="9">
        <f>IF(OR('Rate Table'!D5="",'Rate Table'!E5=""),"",ROUND('Rate Table'!E5-'Rate Table'!D5,2))</f>
        <v/>
      </c>
      <c r="G5" s="9">
        <f>IF(OR('Rate Table'!D5="",'Rate Table'!F5=""),"",ROUND('Rate Table'!F5-'Rate Table'!D5,2))</f>
        <v/>
      </c>
      <c r="H5" s="9">
        <f>IF(OR('Rate Table'!E5="",'Rate Table'!F5=""),"",ROUND('Rate Table'!F5-'Rate Table'!E5,2))</f>
        <v/>
      </c>
    </row>
    <row r="6">
      <c r="A6" s="9">
        <f>'Rate Table'!A6</f>
        <v/>
      </c>
      <c r="B6" s="9">
        <f>'Rate Table'!B6</f>
        <v/>
      </c>
      <c r="C6" s="9">
        <f>IF(OR('Rate Table'!C6="",'Rate Table'!D6=""),"",ROUND('Rate Table'!D6-'Rate Table'!C6,2))</f>
        <v/>
      </c>
      <c r="D6" s="9">
        <f>IF(OR('Rate Table'!C6="",'Rate Table'!E6=""),"",ROUND('Rate Table'!E6-'Rate Table'!C6,2))</f>
        <v/>
      </c>
      <c r="E6" s="9">
        <f>IF(OR('Rate Table'!C6="",'Rate Table'!F6=""),"",ROUND('Rate Table'!F6-'Rate Table'!C6,2))</f>
        <v/>
      </c>
      <c r="F6" s="9">
        <f>IF(OR('Rate Table'!D6="",'Rate Table'!E6=""),"",ROUND('Rate Table'!E6-'Rate Table'!D6,2))</f>
        <v/>
      </c>
      <c r="G6" s="9">
        <f>IF(OR('Rate Table'!D6="",'Rate Table'!F6=""),"",ROUND('Rate Table'!F6-'Rate Table'!D6,2))</f>
        <v/>
      </c>
      <c r="H6" s="9">
        <f>IF(OR('Rate Table'!E6="",'Rate Table'!F6=""),"",ROUND('Rate Table'!F6-'Rate Table'!E6,2))</f>
        <v/>
      </c>
    </row>
    <row r="7">
      <c r="A7" s="9">
        <f>'Rate Table'!A7</f>
        <v/>
      </c>
      <c r="B7" s="9">
        <f>'Rate Table'!B7</f>
        <v/>
      </c>
      <c r="C7" s="9">
        <f>IF(OR('Rate Table'!C7="",'Rate Table'!D7=""),"",ROUND('Rate Table'!D7-'Rate Table'!C7,2))</f>
        <v/>
      </c>
      <c r="D7" s="9">
        <f>IF(OR('Rate Table'!C7="",'Rate Table'!E7=""),"",ROUND('Rate Table'!E7-'Rate Table'!C7,2))</f>
        <v/>
      </c>
      <c r="E7" s="9">
        <f>IF(OR('Rate Table'!C7="",'Rate Table'!F7=""),"",ROUND('Rate Table'!F7-'Rate Table'!C7,2))</f>
        <v/>
      </c>
      <c r="F7" s="9">
        <f>IF(OR('Rate Table'!D7="",'Rate Table'!E7=""),"",ROUND('Rate Table'!E7-'Rate Table'!D7,2))</f>
        <v/>
      </c>
      <c r="G7" s="9">
        <f>IF(OR('Rate Table'!D7="",'Rate Table'!F7=""),"",ROUND('Rate Table'!F7-'Rate Table'!D7,2))</f>
        <v/>
      </c>
      <c r="H7" s="9">
        <f>IF(OR('Rate Table'!E7="",'Rate Table'!F7=""),"",ROUND('Rate Table'!F7-'Rate Table'!E7,2))</f>
        <v/>
      </c>
    </row>
    <row r="8">
      <c r="A8" s="9">
        <f>'Rate Table'!A8</f>
        <v/>
      </c>
      <c r="B8" s="9">
        <f>'Rate Table'!B8</f>
        <v/>
      </c>
      <c r="C8" s="9">
        <f>IF(OR('Rate Table'!C8="",'Rate Table'!D8=""),"",ROUND('Rate Table'!D8-'Rate Table'!C8,2))</f>
        <v/>
      </c>
      <c r="D8" s="9">
        <f>IF(OR('Rate Table'!C8="",'Rate Table'!E8=""),"",ROUND('Rate Table'!E8-'Rate Table'!C8,2))</f>
        <v/>
      </c>
      <c r="E8" s="9">
        <f>IF(OR('Rate Table'!C8="",'Rate Table'!F8=""),"",ROUND('Rate Table'!F8-'Rate Table'!C8,2))</f>
        <v/>
      </c>
      <c r="F8" s="9">
        <f>IF(OR('Rate Table'!D8="",'Rate Table'!E8=""),"",ROUND('Rate Table'!E8-'Rate Table'!D8,2))</f>
        <v/>
      </c>
      <c r="G8" s="9">
        <f>IF(OR('Rate Table'!D8="",'Rate Table'!F8=""),"",ROUND('Rate Table'!F8-'Rate Table'!D8,2))</f>
        <v/>
      </c>
      <c r="H8" s="9">
        <f>IF(OR('Rate Table'!E8="",'Rate Table'!F8=""),"",ROUND('Rate Table'!F8-'Rate Table'!E8,2))</f>
        <v/>
      </c>
    </row>
    <row r="9">
      <c r="A9" s="9">
        <f>'Rate Table'!A9</f>
        <v/>
      </c>
      <c r="B9" s="9">
        <f>'Rate Table'!B9</f>
        <v/>
      </c>
      <c r="C9" s="9">
        <f>IF(OR('Rate Table'!C9="",'Rate Table'!D9=""),"",ROUND('Rate Table'!D9-'Rate Table'!C9,2))</f>
        <v/>
      </c>
      <c r="D9" s="9">
        <f>IF(OR('Rate Table'!C9="",'Rate Table'!E9=""),"",ROUND('Rate Table'!E9-'Rate Table'!C9,2))</f>
        <v/>
      </c>
      <c r="E9" s="9">
        <f>IF(OR('Rate Table'!C9="",'Rate Table'!F9=""),"",ROUND('Rate Table'!F9-'Rate Table'!C9,2))</f>
        <v/>
      </c>
      <c r="F9" s="9">
        <f>IF(OR('Rate Table'!D9="",'Rate Table'!E9=""),"",ROUND('Rate Table'!E9-'Rate Table'!D9,2))</f>
        <v/>
      </c>
      <c r="G9" s="9">
        <f>IF(OR('Rate Table'!D9="",'Rate Table'!F9=""),"",ROUND('Rate Table'!F9-'Rate Table'!D9,2))</f>
        <v/>
      </c>
      <c r="H9" s="9">
        <f>IF(OR('Rate Table'!E9="",'Rate Table'!F9=""),"",ROUND('Rate Table'!F9-'Rate Table'!E9,2))</f>
        <v/>
      </c>
    </row>
    <row r="10">
      <c r="A10" s="9">
        <f>'Rate Table'!A10</f>
        <v/>
      </c>
      <c r="B10" s="9">
        <f>'Rate Table'!B10</f>
        <v/>
      </c>
      <c r="C10" s="9">
        <f>IF(OR('Rate Table'!C10="",'Rate Table'!D10=""),"",ROUND('Rate Table'!D10-'Rate Table'!C10,2))</f>
        <v/>
      </c>
      <c r="D10" s="9">
        <f>IF(OR('Rate Table'!C10="",'Rate Table'!E10=""),"",ROUND('Rate Table'!E10-'Rate Table'!C10,2))</f>
        <v/>
      </c>
      <c r="E10" s="9">
        <f>IF(OR('Rate Table'!C10="",'Rate Table'!F10=""),"",ROUND('Rate Table'!F10-'Rate Table'!C10,2))</f>
        <v/>
      </c>
      <c r="F10" s="9">
        <f>IF(OR('Rate Table'!D10="",'Rate Table'!E10=""),"",ROUND('Rate Table'!E10-'Rate Table'!D10,2))</f>
        <v/>
      </c>
      <c r="G10" s="9">
        <f>IF(OR('Rate Table'!D10="",'Rate Table'!F10=""),"",ROUND('Rate Table'!F10-'Rate Table'!D10,2))</f>
        <v/>
      </c>
      <c r="H10" s="9">
        <f>IF(OR('Rate Table'!E10="",'Rate Table'!F10=""),"",ROUND('Rate Table'!F10-'Rate Table'!E10,2))</f>
        <v/>
      </c>
    </row>
    <row r="11">
      <c r="A11" s="9">
        <f>'Rate Table'!A11</f>
        <v/>
      </c>
      <c r="B11" s="9">
        <f>'Rate Table'!B11</f>
        <v/>
      </c>
      <c r="C11" s="9">
        <f>IF(OR('Rate Table'!C11="",'Rate Table'!D11=""),"",ROUND('Rate Table'!D11-'Rate Table'!C11,2))</f>
        <v/>
      </c>
      <c r="D11" s="9">
        <f>IF(OR('Rate Table'!C11="",'Rate Table'!E11=""),"",ROUND('Rate Table'!E11-'Rate Table'!C11,2))</f>
        <v/>
      </c>
      <c r="E11" s="9">
        <f>IF(OR('Rate Table'!C11="",'Rate Table'!F11=""),"",ROUND('Rate Table'!F11-'Rate Table'!C11,2))</f>
        <v/>
      </c>
      <c r="F11" s="9">
        <f>IF(OR('Rate Table'!D11="",'Rate Table'!E11=""),"",ROUND('Rate Table'!E11-'Rate Table'!D11,2))</f>
        <v/>
      </c>
      <c r="G11" s="9">
        <f>IF(OR('Rate Table'!D11="",'Rate Table'!F11=""),"",ROUND('Rate Table'!F11-'Rate Table'!D11,2))</f>
        <v/>
      </c>
      <c r="H11" s="9">
        <f>IF(OR('Rate Table'!E11="",'Rate Table'!F11=""),"",ROUND('Rate Table'!F11-'Rate Table'!E11,2))</f>
        <v/>
      </c>
    </row>
    <row r="12">
      <c r="A12" s="9">
        <f>'Rate Table'!A12</f>
        <v/>
      </c>
      <c r="B12" s="9">
        <f>'Rate Table'!B12</f>
        <v/>
      </c>
      <c r="C12" s="9">
        <f>IF(OR('Rate Table'!C12="",'Rate Table'!D12=""),"",ROUND('Rate Table'!D12-'Rate Table'!C12,2))</f>
        <v/>
      </c>
      <c r="D12" s="9">
        <f>IF(OR('Rate Table'!C12="",'Rate Table'!E12=""),"",ROUND('Rate Table'!E12-'Rate Table'!C12,2))</f>
        <v/>
      </c>
      <c r="E12" s="9">
        <f>IF(OR('Rate Table'!C12="",'Rate Table'!F12=""),"",ROUND('Rate Table'!F12-'Rate Table'!C12,2))</f>
        <v/>
      </c>
      <c r="F12" s="9">
        <f>IF(OR('Rate Table'!D12="",'Rate Table'!E12=""),"",ROUND('Rate Table'!E12-'Rate Table'!D12,2))</f>
        <v/>
      </c>
      <c r="G12" s="9">
        <f>IF(OR('Rate Table'!D12="",'Rate Table'!F12=""),"",ROUND('Rate Table'!F12-'Rate Table'!D12,2))</f>
        <v/>
      </c>
      <c r="H12" s="9">
        <f>IF(OR('Rate Table'!E12="",'Rate Table'!F12=""),"",ROUND('Rate Table'!F12-'Rate Table'!E12,2))</f>
        <v/>
      </c>
    </row>
    <row r="13">
      <c r="A13" s="9">
        <f>'Rate Table'!A13</f>
        <v/>
      </c>
      <c r="B13" s="9">
        <f>'Rate Table'!B13</f>
        <v/>
      </c>
      <c r="C13" s="9">
        <f>IF(OR('Rate Table'!C13="",'Rate Table'!D13=""),"",ROUND('Rate Table'!D13-'Rate Table'!C13,2))</f>
        <v/>
      </c>
      <c r="D13" s="9">
        <f>IF(OR('Rate Table'!C13="",'Rate Table'!E13=""),"",ROUND('Rate Table'!E13-'Rate Table'!C13,2))</f>
        <v/>
      </c>
      <c r="E13" s="9">
        <f>IF(OR('Rate Table'!C13="",'Rate Table'!F13=""),"",ROUND('Rate Table'!F13-'Rate Table'!C13,2))</f>
        <v/>
      </c>
      <c r="F13" s="9">
        <f>IF(OR('Rate Table'!D13="",'Rate Table'!E13=""),"",ROUND('Rate Table'!E13-'Rate Table'!D13,2))</f>
        <v/>
      </c>
      <c r="G13" s="9">
        <f>IF(OR('Rate Table'!D13="",'Rate Table'!F13=""),"",ROUND('Rate Table'!F13-'Rate Table'!D13,2))</f>
        <v/>
      </c>
      <c r="H13" s="9">
        <f>IF(OR('Rate Table'!E13="",'Rate Table'!F13=""),"",ROUND('Rate Table'!F13-'Rate Table'!E13,2))</f>
        <v/>
      </c>
    </row>
    <row r="14">
      <c r="A14" s="9">
        <f>'Rate Table'!A14</f>
        <v/>
      </c>
      <c r="B14" s="9">
        <f>'Rate Table'!B14</f>
        <v/>
      </c>
      <c r="C14" s="9">
        <f>IF(OR('Rate Table'!C14="",'Rate Table'!D14=""),"",ROUND('Rate Table'!D14-'Rate Table'!C14,2))</f>
        <v/>
      </c>
      <c r="D14" s="9">
        <f>IF(OR('Rate Table'!C14="",'Rate Table'!E14=""),"",ROUND('Rate Table'!E14-'Rate Table'!C14,2))</f>
        <v/>
      </c>
      <c r="E14" s="9">
        <f>IF(OR('Rate Table'!C14="",'Rate Table'!F14=""),"",ROUND('Rate Table'!F14-'Rate Table'!C14,2))</f>
        <v/>
      </c>
      <c r="F14" s="9">
        <f>IF(OR('Rate Table'!D14="",'Rate Table'!E14=""),"",ROUND('Rate Table'!E14-'Rate Table'!D14,2))</f>
        <v/>
      </c>
      <c r="G14" s="9">
        <f>IF(OR('Rate Table'!D14="",'Rate Table'!F14=""),"",ROUND('Rate Table'!F14-'Rate Table'!D14,2))</f>
        <v/>
      </c>
      <c r="H14" s="9">
        <f>IF(OR('Rate Table'!E14="",'Rate Table'!F14=""),"",ROUND('Rate Table'!F14-'Rate Table'!E14,2))</f>
        <v/>
      </c>
    </row>
    <row r="15">
      <c r="A15" s="9">
        <f>'Rate Table'!A15</f>
        <v/>
      </c>
      <c r="B15" s="9">
        <f>'Rate Table'!B15</f>
        <v/>
      </c>
      <c r="C15" s="9">
        <f>IF(OR('Rate Table'!C15="",'Rate Table'!D15=""),"",ROUND('Rate Table'!D15-'Rate Table'!C15,2))</f>
        <v/>
      </c>
      <c r="D15" s="9">
        <f>IF(OR('Rate Table'!C15="",'Rate Table'!E15=""),"",ROUND('Rate Table'!E15-'Rate Table'!C15,2))</f>
        <v/>
      </c>
      <c r="E15" s="9">
        <f>IF(OR('Rate Table'!C15="",'Rate Table'!F15=""),"",ROUND('Rate Table'!F15-'Rate Table'!C15,2))</f>
        <v/>
      </c>
      <c r="F15" s="9">
        <f>IF(OR('Rate Table'!D15="",'Rate Table'!E15=""),"",ROUND('Rate Table'!E15-'Rate Table'!D15,2))</f>
        <v/>
      </c>
      <c r="G15" s="9">
        <f>IF(OR('Rate Table'!D15="",'Rate Table'!F15=""),"",ROUND('Rate Table'!F15-'Rate Table'!D15,2))</f>
        <v/>
      </c>
      <c r="H15" s="9">
        <f>IF(OR('Rate Table'!E15="",'Rate Table'!F15=""),"",ROUND('Rate Table'!F15-'Rate Table'!E15,2))</f>
        <v/>
      </c>
    </row>
    <row r="16">
      <c r="A16" s="9">
        <f>'Rate Table'!A16</f>
        <v/>
      </c>
      <c r="B16" s="9">
        <f>'Rate Table'!B16</f>
        <v/>
      </c>
      <c r="C16" s="9">
        <f>IF(OR('Rate Table'!C16="",'Rate Table'!D16=""),"",ROUND('Rate Table'!D16-'Rate Table'!C16,2))</f>
        <v/>
      </c>
      <c r="D16" s="9">
        <f>IF(OR('Rate Table'!C16="",'Rate Table'!E16=""),"",ROUND('Rate Table'!E16-'Rate Table'!C16,2))</f>
        <v/>
      </c>
      <c r="E16" s="9">
        <f>IF(OR('Rate Table'!C16="",'Rate Table'!F16=""),"",ROUND('Rate Table'!F16-'Rate Table'!C16,2))</f>
        <v/>
      </c>
      <c r="F16" s="9">
        <f>IF(OR('Rate Table'!D16="",'Rate Table'!E16=""),"",ROUND('Rate Table'!E16-'Rate Table'!D16,2))</f>
        <v/>
      </c>
      <c r="G16" s="9">
        <f>IF(OR('Rate Table'!D16="",'Rate Table'!F16=""),"",ROUND('Rate Table'!F16-'Rate Table'!D16,2))</f>
        <v/>
      </c>
      <c r="H16" s="9">
        <f>IF(OR('Rate Table'!E16="",'Rate Table'!F16=""),"",ROUND('Rate Table'!F16-'Rate Table'!E16,2))</f>
        <v/>
      </c>
    </row>
    <row r="17">
      <c r="A17" s="9">
        <f>'Rate Table'!A17</f>
        <v/>
      </c>
      <c r="B17" s="9">
        <f>'Rate Table'!B17</f>
        <v/>
      </c>
      <c r="C17" s="9">
        <f>IF(OR('Rate Table'!C17="",'Rate Table'!D17=""),"",ROUND('Rate Table'!D17-'Rate Table'!C17,2))</f>
        <v/>
      </c>
      <c r="D17" s="9">
        <f>IF(OR('Rate Table'!C17="",'Rate Table'!E17=""),"",ROUND('Rate Table'!E17-'Rate Table'!C17,2))</f>
        <v/>
      </c>
      <c r="E17" s="9">
        <f>IF(OR('Rate Table'!C17="",'Rate Table'!F17=""),"",ROUND('Rate Table'!F17-'Rate Table'!C17,2))</f>
        <v/>
      </c>
      <c r="F17" s="9">
        <f>IF(OR('Rate Table'!D17="",'Rate Table'!E17=""),"",ROUND('Rate Table'!E17-'Rate Table'!D17,2))</f>
        <v/>
      </c>
      <c r="G17" s="9">
        <f>IF(OR('Rate Table'!D17="",'Rate Table'!F17=""),"",ROUND('Rate Table'!F17-'Rate Table'!D17,2))</f>
        <v/>
      </c>
      <c r="H17" s="9">
        <f>IF(OR('Rate Table'!E17="",'Rate Table'!F17=""),"",ROUND('Rate Table'!F17-'Rate Table'!E17,2))</f>
        <v/>
      </c>
    </row>
    <row r="18">
      <c r="A18" s="9">
        <f>'Rate Table'!A18</f>
        <v/>
      </c>
      <c r="B18" s="9">
        <f>'Rate Table'!B18</f>
        <v/>
      </c>
      <c r="C18" s="9">
        <f>IF(OR('Rate Table'!C18="",'Rate Table'!D18=""),"",ROUND('Rate Table'!D18-'Rate Table'!C18,2))</f>
        <v/>
      </c>
      <c r="D18" s="9">
        <f>IF(OR('Rate Table'!C18="",'Rate Table'!E18=""),"",ROUND('Rate Table'!E18-'Rate Table'!C18,2))</f>
        <v/>
      </c>
      <c r="E18" s="9">
        <f>IF(OR('Rate Table'!C18="",'Rate Table'!F18=""),"",ROUND('Rate Table'!F18-'Rate Table'!C18,2))</f>
        <v/>
      </c>
      <c r="F18" s="9">
        <f>IF(OR('Rate Table'!D18="",'Rate Table'!E18=""),"",ROUND('Rate Table'!E18-'Rate Table'!D18,2))</f>
        <v/>
      </c>
      <c r="G18" s="9">
        <f>IF(OR('Rate Table'!D18="",'Rate Table'!F18=""),"",ROUND('Rate Table'!F18-'Rate Table'!D18,2))</f>
        <v/>
      </c>
      <c r="H18" s="9">
        <f>IF(OR('Rate Table'!E18="",'Rate Table'!F18=""),"",ROUND('Rate Table'!F18-'Rate Table'!E18,2))</f>
        <v/>
      </c>
    </row>
    <row r="19">
      <c r="A19" s="9">
        <f>'Rate Table'!A19</f>
        <v/>
      </c>
      <c r="B19" s="9">
        <f>'Rate Table'!B19</f>
        <v/>
      </c>
      <c r="C19" s="9">
        <f>IF(OR('Rate Table'!C19="",'Rate Table'!D19=""),"",ROUND('Rate Table'!D19-'Rate Table'!C19,2))</f>
        <v/>
      </c>
      <c r="D19" s="9">
        <f>IF(OR('Rate Table'!C19="",'Rate Table'!E19=""),"",ROUND('Rate Table'!E19-'Rate Table'!C19,2))</f>
        <v/>
      </c>
      <c r="E19" s="9">
        <f>IF(OR('Rate Table'!C19="",'Rate Table'!F19=""),"",ROUND('Rate Table'!F19-'Rate Table'!C19,2))</f>
        <v/>
      </c>
      <c r="F19" s="9">
        <f>IF(OR('Rate Table'!D19="",'Rate Table'!E19=""),"",ROUND('Rate Table'!E19-'Rate Table'!D19,2))</f>
        <v/>
      </c>
      <c r="G19" s="9">
        <f>IF(OR('Rate Table'!D19="",'Rate Table'!F19=""),"",ROUND('Rate Table'!F19-'Rate Table'!D19,2))</f>
        <v/>
      </c>
      <c r="H19" s="9">
        <f>IF(OR('Rate Table'!E19="",'Rate Table'!F19=""),"",ROUND('Rate Table'!F19-'Rate Table'!E19,2))</f>
        <v/>
      </c>
    </row>
    <row r="20">
      <c r="A20" s="9">
        <f>'Rate Table'!A20</f>
        <v/>
      </c>
      <c r="B20" s="9">
        <f>'Rate Table'!B20</f>
        <v/>
      </c>
      <c r="C20" s="9">
        <f>IF(OR('Rate Table'!C20="",'Rate Table'!D20=""),"",ROUND('Rate Table'!D20-'Rate Table'!C20,2))</f>
        <v/>
      </c>
      <c r="D20" s="9">
        <f>IF(OR('Rate Table'!C20="",'Rate Table'!E20=""),"",ROUND('Rate Table'!E20-'Rate Table'!C20,2))</f>
        <v/>
      </c>
      <c r="E20" s="9">
        <f>IF(OR('Rate Table'!C20="",'Rate Table'!F20=""),"",ROUND('Rate Table'!F20-'Rate Table'!C20,2))</f>
        <v/>
      </c>
      <c r="F20" s="9">
        <f>IF(OR('Rate Table'!D20="",'Rate Table'!E20=""),"",ROUND('Rate Table'!E20-'Rate Table'!D20,2))</f>
        <v/>
      </c>
      <c r="G20" s="9">
        <f>IF(OR('Rate Table'!D20="",'Rate Table'!F20=""),"",ROUND('Rate Table'!F20-'Rate Table'!D20,2))</f>
        <v/>
      </c>
      <c r="H20" s="9">
        <f>IF(OR('Rate Table'!E20="",'Rate Table'!F20=""),"",ROUND('Rate Table'!F20-'Rate Table'!E20,2))</f>
        <v/>
      </c>
    </row>
    <row r="21">
      <c r="A21" s="9">
        <f>'Rate Table'!A21</f>
        <v/>
      </c>
      <c r="B21" s="9">
        <f>'Rate Table'!B21</f>
        <v/>
      </c>
      <c r="C21" s="9">
        <f>IF(OR('Rate Table'!C21="",'Rate Table'!D21=""),"",ROUND('Rate Table'!D21-'Rate Table'!C21,2))</f>
        <v/>
      </c>
      <c r="D21" s="9">
        <f>IF(OR('Rate Table'!C21="",'Rate Table'!E21=""),"",ROUND('Rate Table'!E21-'Rate Table'!C21,2))</f>
        <v/>
      </c>
      <c r="E21" s="9">
        <f>IF(OR('Rate Table'!C21="",'Rate Table'!F21=""),"",ROUND('Rate Table'!F21-'Rate Table'!C21,2))</f>
        <v/>
      </c>
      <c r="F21" s="9">
        <f>IF(OR('Rate Table'!D21="",'Rate Table'!E21=""),"",ROUND('Rate Table'!E21-'Rate Table'!D21,2))</f>
        <v/>
      </c>
      <c r="G21" s="9">
        <f>IF(OR('Rate Table'!D21="",'Rate Table'!F21=""),"",ROUND('Rate Table'!F21-'Rate Table'!D21,2))</f>
        <v/>
      </c>
      <c r="H21" s="9">
        <f>IF(OR('Rate Table'!E21="",'Rate Table'!F21=""),"",ROUND('Rate Table'!F21-'Rate Table'!E21,2))</f>
        <v/>
      </c>
    </row>
    <row r="22">
      <c r="A22" s="9">
        <f>'Rate Table'!A22</f>
        <v/>
      </c>
      <c r="B22" s="9">
        <f>'Rate Table'!B22</f>
        <v/>
      </c>
      <c r="C22" s="9">
        <f>IF(OR('Rate Table'!C22="",'Rate Table'!D22=""),"",ROUND('Rate Table'!D22-'Rate Table'!C22,2))</f>
        <v/>
      </c>
      <c r="D22" s="9">
        <f>IF(OR('Rate Table'!C22="",'Rate Table'!E22=""),"",ROUND('Rate Table'!E22-'Rate Table'!C22,2))</f>
        <v/>
      </c>
      <c r="E22" s="9">
        <f>IF(OR('Rate Table'!C22="",'Rate Table'!F22=""),"",ROUND('Rate Table'!F22-'Rate Table'!C22,2))</f>
        <v/>
      </c>
      <c r="F22" s="9">
        <f>IF(OR('Rate Table'!D22="",'Rate Table'!E22=""),"",ROUND('Rate Table'!E22-'Rate Table'!D22,2))</f>
        <v/>
      </c>
      <c r="G22" s="9">
        <f>IF(OR('Rate Table'!D22="",'Rate Table'!F22=""),"",ROUND('Rate Table'!F22-'Rate Table'!D22,2))</f>
        <v/>
      </c>
      <c r="H22" s="9">
        <f>IF(OR('Rate Table'!E22="",'Rate Table'!F22=""),"",ROUND('Rate Table'!F22-'Rate Table'!E22,2))</f>
        <v/>
      </c>
    </row>
    <row r="23">
      <c r="A23" s="9">
        <f>'Rate Table'!A23</f>
        <v/>
      </c>
      <c r="B23" s="9">
        <f>'Rate Table'!B23</f>
        <v/>
      </c>
      <c r="C23" s="9">
        <f>IF(OR('Rate Table'!C23="",'Rate Table'!D23=""),"",ROUND('Rate Table'!D23-'Rate Table'!C23,2))</f>
        <v/>
      </c>
      <c r="D23" s="9">
        <f>IF(OR('Rate Table'!C23="",'Rate Table'!E23=""),"",ROUND('Rate Table'!E23-'Rate Table'!C23,2))</f>
        <v/>
      </c>
      <c r="E23" s="9">
        <f>IF(OR('Rate Table'!C23="",'Rate Table'!F23=""),"",ROUND('Rate Table'!F23-'Rate Table'!C23,2))</f>
        <v/>
      </c>
      <c r="F23" s="9">
        <f>IF(OR('Rate Table'!D23="",'Rate Table'!E23=""),"",ROUND('Rate Table'!E23-'Rate Table'!D23,2))</f>
        <v/>
      </c>
      <c r="G23" s="9">
        <f>IF(OR('Rate Table'!D23="",'Rate Table'!F23=""),"",ROUND('Rate Table'!F23-'Rate Table'!D23,2))</f>
        <v/>
      </c>
      <c r="H23" s="9">
        <f>IF(OR('Rate Table'!E23="",'Rate Table'!F23=""),"",ROUND('Rate Table'!F23-'Rate Table'!E23,2))</f>
        <v/>
      </c>
    </row>
    <row r="24">
      <c r="A24" s="9">
        <f>'Rate Table'!A24</f>
        <v/>
      </c>
      <c r="B24" s="9">
        <f>'Rate Table'!B24</f>
        <v/>
      </c>
      <c r="C24" s="9">
        <f>IF(OR('Rate Table'!C24="",'Rate Table'!D24=""),"",ROUND('Rate Table'!D24-'Rate Table'!C24,2))</f>
        <v/>
      </c>
      <c r="D24" s="9">
        <f>IF(OR('Rate Table'!C24="",'Rate Table'!E24=""),"",ROUND('Rate Table'!E24-'Rate Table'!C24,2))</f>
        <v/>
      </c>
      <c r="E24" s="9">
        <f>IF(OR('Rate Table'!C24="",'Rate Table'!F24=""),"",ROUND('Rate Table'!F24-'Rate Table'!C24,2))</f>
        <v/>
      </c>
      <c r="F24" s="9">
        <f>IF(OR('Rate Table'!D24="",'Rate Table'!E24=""),"",ROUND('Rate Table'!E24-'Rate Table'!D24,2))</f>
        <v/>
      </c>
      <c r="G24" s="9">
        <f>IF(OR('Rate Table'!D24="",'Rate Table'!F24=""),"",ROUND('Rate Table'!F24-'Rate Table'!D24,2))</f>
        <v/>
      </c>
      <c r="H24" s="9">
        <f>IF(OR('Rate Table'!E24="",'Rate Table'!F24=""),"",ROUND('Rate Table'!F24-'Rate Table'!E24,2))</f>
        <v/>
      </c>
    </row>
    <row r="25">
      <c r="A25" s="9">
        <f>'Rate Table'!A25</f>
        <v/>
      </c>
      <c r="B25" s="9">
        <f>'Rate Table'!B25</f>
        <v/>
      </c>
      <c r="C25" s="9">
        <f>IF(OR('Rate Table'!C25="",'Rate Table'!D25=""),"",ROUND('Rate Table'!D25-'Rate Table'!C25,2))</f>
        <v/>
      </c>
      <c r="D25" s="9">
        <f>IF(OR('Rate Table'!C25="",'Rate Table'!E25=""),"",ROUND('Rate Table'!E25-'Rate Table'!C25,2))</f>
        <v/>
      </c>
      <c r="E25" s="9">
        <f>IF(OR('Rate Table'!C25="",'Rate Table'!F25=""),"",ROUND('Rate Table'!F25-'Rate Table'!C25,2))</f>
        <v/>
      </c>
      <c r="F25" s="9">
        <f>IF(OR('Rate Table'!D25="",'Rate Table'!E25=""),"",ROUND('Rate Table'!E25-'Rate Table'!D25,2))</f>
        <v/>
      </c>
      <c r="G25" s="9">
        <f>IF(OR('Rate Table'!D25="",'Rate Table'!F25=""),"",ROUND('Rate Table'!F25-'Rate Table'!D25,2))</f>
        <v/>
      </c>
      <c r="H25" s="9">
        <f>IF(OR('Rate Table'!E25="",'Rate Table'!F25=""),"",ROUND('Rate Table'!F25-'Rate Table'!E25,2))</f>
        <v/>
      </c>
    </row>
    <row r="26">
      <c r="A26" s="9">
        <f>'Rate Table'!A26</f>
        <v/>
      </c>
      <c r="B26" s="9">
        <f>'Rate Table'!B26</f>
        <v/>
      </c>
      <c r="C26" s="9">
        <f>IF(OR('Rate Table'!C26="",'Rate Table'!D26=""),"",ROUND('Rate Table'!D26-'Rate Table'!C26,2))</f>
        <v/>
      </c>
      <c r="D26" s="9">
        <f>IF(OR('Rate Table'!C26="",'Rate Table'!E26=""),"",ROUND('Rate Table'!E26-'Rate Table'!C26,2))</f>
        <v/>
      </c>
      <c r="E26" s="9">
        <f>IF(OR('Rate Table'!C26="",'Rate Table'!F26=""),"",ROUND('Rate Table'!F26-'Rate Table'!C26,2))</f>
        <v/>
      </c>
      <c r="F26" s="9">
        <f>IF(OR('Rate Table'!D26="",'Rate Table'!E26=""),"",ROUND('Rate Table'!E26-'Rate Table'!D26,2))</f>
        <v/>
      </c>
      <c r="G26" s="9">
        <f>IF(OR('Rate Table'!D26="",'Rate Table'!F26=""),"",ROUND('Rate Table'!F26-'Rate Table'!D26,2))</f>
        <v/>
      </c>
      <c r="H26" s="9">
        <f>IF(OR('Rate Table'!E26="",'Rate Table'!F26=""),"",ROUND('Rate Table'!F26-'Rate Table'!E26,2))</f>
        <v/>
      </c>
    </row>
    <row r="27">
      <c r="A27" s="9">
        <f>'Rate Table'!A27</f>
        <v/>
      </c>
      <c r="B27" s="9">
        <f>'Rate Table'!B27</f>
        <v/>
      </c>
      <c r="C27" s="9">
        <f>IF(OR('Rate Table'!C27="",'Rate Table'!D27=""),"",ROUND('Rate Table'!D27-'Rate Table'!C27,2))</f>
        <v/>
      </c>
      <c r="D27" s="9">
        <f>IF(OR('Rate Table'!C27="",'Rate Table'!E27=""),"",ROUND('Rate Table'!E27-'Rate Table'!C27,2))</f>
        <v/>
      </c>
      <c r="E27" s="9">
        <f>IF(OR('Rate Table'!C27="",'Rate Table'!F27=""),"",ROUND('Rate Table'!F27-'Rate Table'!C27,2))</f>
        <v/>
      </c>
      <c r="F27" s="9">
        <f>IF(OR('Rate Table'!D27="",'Rate Table'!E27=""),"",ROUND('Rate Table'!E27-'Rate Table'!D27,2))</f>
        <v/>
      </c>
      <c r="G27" s="9">
        <f>IF(OR('Rate Table'!D27="",'Rate Table'!F27=""),"",ROUND('Rate Table'!F27-'Rate Table'!D27,2))</f>
        <v/>
      </c>
      <c r="H27" s="9">
        <f>IF(OR('Rate Table'!E27="",'Rate Table'!F27=""),"",ROUND('Rate Table'!F27-'Rate Table'!E27,2))</f>
        <v/>
      </c>
    </row>
    <row r="28">
      <c r="A28" s="9">
        <f>'Rate Table'!A28</f>
        <v/>
      </c>
      <c r="B28" s="9">
        <f>'Rate Table'!B28</f>
        <v/>
      </c>
      <c r="C28" s="9">
        <f>IF(OR('Rate Table'!C28="",'Rate Table'!D28=""),"",ROUND('Rate Table'!D28-'Rate Table'!C28,2))</f>
        <v/>
      </c>
      <c r="D28" s="9">
        <f>IF(OR('Rate Table'!C28="",'Rate Table'!E28=""),"",ROUND('Rate Table'!E28-'Rate Table'!C28,2))</f>
        <v/>
      </c>
      <c r="E28" s="9">
        <f>IF(OR('Rate Table'!C28="",'Rate Table'!F28=""),"",ROUND('Rate Table'!F28-'Rate Table'!C28,2))</f>
        <v/>
      </c>
      <c r="F28" s="9">
        <f>IF(OR('Rate Table'!D28="",'Rate Table'!E28=""),"",ROUND('Rate Table'!E28-'Rate Table'!D28,2))</f>
        <v/>
      </c>
      <c r="G28" s="9">
        <f>IF(OR('Rate Table'!D28="",'Rate Table'!F28=""),"",ROUND('Rate Table'!F28-'Rate Table'!D28,2))</f>
        <v/>
      </c>
      <c r="H28" s="9">
        <f>IF(OR('Rate Table'!E28="",'Rate Table'!F28=""),"",ROUND('Rate Table'!F28-'Rate Table'!E28,2))</f>
        <v/>
      </c>
    </row>
    <row r="29">
      <c r="A29" s="9">
        <f>'Rate Table'!A29</f>
        <v/>
      </c>
      <c r="B29" s="9">
        <f>'Rate Table'!B29</f>
        <v/>
      </c>
      <c r="C29" s="9">
        <f>IF(OR('Rate Table'!C29="",'Rate Table'!D29=""),"",ROUND('Rate Table'!D29-'Rate Table'!C29,2))</f>
        <v/>
      </c>
      <c r="D29" s="9">
        <f>IF(OR('Rate Table'!C29="",'Rate Table'!E29=""),"",ROUND('Rate Table'!E29-'Rate Table'!C29,2))</f>
        <v/>
      </c>
      <c r="E29" s="9">
        <f>IF(OR('Rate Table'!C29="",'Rate Table'!F29=""),"",ROUND('Rate Table'!F29-'Rate Table'!C29,2))</f>
        <v/>
      </c>
      <c r="F29" s="9">
        <f>IF(OR('Rate Table'!D29="",'Rate Table'!E29=""),"",ROUND('Rate Table'!E29-'Rate Table'!D29,2))</f>
        <v/>
      </c>
      <c r="G29" s="9">
        <f>IF(OR('Rate Table'!D29="",'Rate Table'!F29=""),"",ROUND('Rate Table'!F29-'Rate Table'!D29,2))</f>
        <v/>
      </c>
      <c r="H29" s="9">
        <f>IF(OR('Rate Table'!E29="",'Rate Table'!F29=""),"",ROUND('Rate Table'!F29-'Rate Table'!E29,2))</f>
        <v/>
      </c>
    </row>
    <row r="30">
      <c r="A30" s="9">
        <f>'Rate Table'!A30</f>
        <v/>
      </c>
      <c r="B30" s="9">
        <f>'Rate Table'!B30</f>
        <v/>
      </c>
      <c r="C30" s="9">
        <f>IF(OR('Rate Table'!C30="",'Rate Table'!D30=""),"",ROUND('Rate Table'!D30-'Rate Table'!C30,2))</f>
        <v/>
      </c>
      <c r="D30" s="9">
        <f>IF(OR('Rate Table'!C30="",'Rate Table'!E30=""),"",ROUND('Rate Table'!E30-'Rate Table'!C30,2))</f>
        <v/>
      </c>
      <c r="E30" s="9">
        <f>IF(OR('Rate Table'!C30="",'Rate Table'!F30=""),"",ROUND('Rate Table'!F30-'Rate Table'!C30,2))</f>
        <v/>
      </c>
      <c r="F30" s="9">
        <f>IF(OR('Rate Table'!D30="",'Rate Table'!E30=""),"",ROUND('Rate Table'!E30-'Rate Table'!D30,2))</f>
        <v/>
      </c>
      <c r="G30" s="9">
        <f>IF(OR('Rate Table'!D30="",'Rate Table'!F30=""),"",ROUND('Rate Table'!F30-'Rate Table'!D30,2))</f>
        <v/>
      </c>
      <c r="H30" s="9">
        <f>IF(OR('Rate Table'!E30="",'Rate Table'!F30=""),"",ROUND('Rate Table'!F30-'Rate Table'!E30,2))</f>
        <v/>
      </c>
    </row>
    <row r="31">
      <c r="A31" s="9">
        <f>'Rate Table'!A31</f>
        <v/>
      </c>
      <c r="B31" s="9">
        <f>'Rate Table'!B31</f>
        <v/>
      </c>
      <c r="C31" s="9">
        <f>IF(OR('Rate Table'!C31="",'Rate Table'!D31=""),"",ROUND('Rate Table'!D31-'Rate Table'!C31,2))</f>
        <v/>
      </c>
      <c r="D31" s="9">
        <f>IF(OR('Rate Table'!C31="",'Rate Table'!E31=""),"",ROUND('Rate Table'!E31-'Rate Table'!C31,2))</f>
        <v/>
      </c>
      <c r="E31" s="9">
        <f>IF(OR('Rate Table'!C31="",'Rate Table'!F31=""),"",ROUND('Rate Table'!F31-'Rate Table'!C31,2))</f>
        <v/>
      </c>
      <c r="F31" s="9">
        <f>IF(OR('Rate Table'!D31="",'Rate Table'!E31=""),"",ROUND('Rate Table'!E31-'Rate Table'!D31,2))</f>
        <v/>
      </c>
      <c r="G31" s="9">
        <f>IF(OR('Rate Table'!D31="",'Rate Table'!F31=""),"",ROUND('Rate Table'!F31-'Rate Table'!D31,2))</f>
        <v/>
      </c>
      <c r="H31" s="9">
        <f>IF(OR('Rate Table'!E31="",'Rate Table'!F31=""),"",ROUND('Rate Table'!F31-'Rate Table'!E31,2))</f>
        <v/>
      </c>
    </row>
    <row r="32">
      <c r="A32" s="9">
        <f>'Rate Table'!A32</f>
        <v/>
      </c>
      <c r="B32" s="9">
        <f>'Rate Table'!B32</f>
        <v/>
      </c>
      <c r="C32" s="9">
        <f>IF(OR('Rate Table'!C32="",'Rate Table'!D32=""),"",ROUND('Rate Table'!D32-'Rate Table'!C32,2))</f>
        <v/>
      </c>
      <c r="D32" s="9">
        <f>IF(OR('Rate Table'!C32="",'Rate Table'!E32=""),"",ROUND('Rate Table'!E32-'Rate Table'!C32,2))</f>
        <v/>
      </c>
      <c r="E32" s="9">
        <f>IF(OR('Rate Table'!C32="",'Rate Table'!F32=""),"",ROUND('Rate Table'!F32-'Rate Table'!C32,2))</f>
        <v/>
      </c>
      <c r="F32" s="9">
        <f>IF(OR('Rate Table'!D32="",'Rate Table'!E32=""),"",ROUND('Rate Table'!E32-'Rate Table'!D32,2))</f>
        <v/>
      </c>
      <c r="G32" s="9">
        <f>IF(OR('Rate Table'!D32="",'Rate Table'!F32=""),"",ROUND('Rate Table'!F32-'Rate Table'!D32,2))</f>
        <v/>
      </c>
      <c r="H32" s="9">
        <f>IF(OR('Rate Table'!E32="",'Rate Table'!F32=""),"",ROUND('Rate Table'!F32-'Rate Table'!E32,2))</f>
        <v/>
      </c>
    </row>
    <row r="33">
      <c r="A33" s="9">
        <f>'Rate Table'!A33</f>
        <v/>
      </c>
      <c r="B33" s="9">
        <f>'Rate Table'!B33</f>
        <v/>
      </c>
      <c r="C33" s="9">
        <f>IF(OR('Rate Table'!C33="",'Rate Table'!D33=""),"",ROUND('Rate Table'!D33-'Rate Table'!C33,2))</f>
        <v/>
      </c>
      <c r="D33" s="9">
        <f>IF(OR('Rate Table'!C33="",'Rate Table'!E33=""),"",ROUND('Rate Table'!E33-'Rate Table'!C33,2))</f>
        <v/>
      </c>
      <c r="E33" s="9">
        <f>IF(OR('Rate Table'!C33="",'Rate Table'!F33=""),"",ROUND('Rate Table'!F33-'Rate Table'!C33,2))</f>
        <v/>
      </c>
      <c r="F33" s="9">
        <f>IF(OR('Rate Table'!D33="",'Rate Table'!E33=""),"",ROUND('Rate Table'!E33-'Rate Table'!D33,2))</f>
        <v/>
      </c>
      <c r="G33" s="9">
        <f>IF(OR('Rate Table'!D33="",'Rate Table'!F33=""),"",ROUND('Rate Table'!F33-'Rate Table'!D33,2))</f>
        <v/>
      </c>
      <c r="H33" s="9">
        <f>IF(OR('Rate Table'!E33="",'Rate Table'!F33=""),"",ROUND('Rate Table'!F33-'Rate Table'!E33,2))</f>
        <v/>
      </c>
    </row>
    <row r="34">
      <c r="A34" s="9">
        <f>'Rate Table'!A34</f>
        <v/>
      </c>
      <c r="B34" s="9">
        <f>'Rate Table'!B34</f>
        <v/>
      </c>
      <c r="C34" s="9">
        <f>IF(OR('Rate Table'!C34="",'Rate Table'!D34=""),"",ROUND('Rate Table'!D34-'Rate Table'!C34,2))</f>
        <v/>
      </c>
      <c r="D34" s="9">
        <f>IF(OR('Rate Table'!C34="",'Rate Table'!E34=""),"",ROUND('Rate Table'!E34-'Rate Table'!C34,2))</f>
        <v/>
      </c>
      <c r="E34" s="9">
        <f>IF(OR('Rate Table'!C34="",'Rate Table'!F34=""),"",ROUND('Rate Table'!F34-'Rate Table'!C34,2))</f>
        <v/>
      </c>
      <c r="F34" s="9">
        <f>IF(OR('Rate Table'!D34="",'Rate Table'!E34=""),"",ROUND('Rate Table'!E34-'Rate Table'!D34,2))</f>
        <v/>
      </c>
      <c r="G34" s="9">
        <f>IF(OR('Rate Table'!D34="",'Rate Table'!F34=""),"",ROUND('Rate Table'!F34-'Rate Table'!D34,2))</f>
        <v/>
      </c>
      <c r="H34" s="9">
        <f>IF(OR('Rate Table'!E34="",'Rate Table'!F34=""),"",ROUND('Rate Table'!F34-'Rate Table'!E34,2))</f>
        <v/>
      </c>
    </row>
    <row r="35">
      <c r="A35" s="9">
        <f>'Rate Table'!A35</f>
        <v/>
      </c>
      <c r="B35" s="9">
        <f>'Rate Table'!B35</f>
        <v/>
      </c>
      <c r="C35" s="9">
        <f>IF(OR('Rate Table'!C35="",'Rate Table'!D35=""),"",ROUND('Rate Table'!D35-'Rate Table'!C35,2))</f>
        <v/>
      </c>
      <c r="D35" s="9">
        <f>IF(OR('Rate Table'!C35="",'Rate Table'!E35=""),"",ROUND('Rate Table'!E35-'Rate Table'!C35,2))</f>
        <v/>
      </c>
      <c r="E35" s="9">
        <f>IF(OR('Rate Table'!C35="",'Rate Table'!F35=""),"",ROUND('Rate Table'!F35-'Rate Table'!C35,2))</f>
        <v/>
      </c>
      <c r="F35" s="9">
        <f>IF(OR('Rate Table'!D35="",'Rate Table'!E35=""),"",ROUND('Rate Table'!E35-'Rate Table'!D35,2))</f>
        <v/>
      </c>
      <c r="G35" s="9">
        <f>IF(OR('Rate Table'!D35="",'Rate Table'!F35=""),"",ROUND('Rate Table'!F35-'Rate Table'!D35,2))</f>
        <v/>
      </c>
      <c r="H35" s="9">
        <f>IF(OR('Rate Table'!E35="",'Rate Table'!F35=""),"",ROUND('Rate Table'!F35-'Rate Table'!E35,2))</f>
        <v/>
      </c>
    </row>
    <row r="36">
      <c r="A36" s="9">
        <f>'Rate Table'!A36</f>
        <v/>
      </c>
      <c r="B36" s="9">
        <f>'Rate Table'!B36</f>
        <v/>
      </c>
      <c r="C36" s="9">
        <f>IF(OR('Rate Table'!C36="",'Rate Table'!D36=""),"",ROUND('Rate Table'!D36-'Rate Table'!C36,2))</f>
        <v/>
      </c>
      <c r="D36" s="9">
        <f>IF(OR('Rate Table'!C36="",'Rate Table'!E36=""),"",ROUND('Rate Table'!E36-'Rate Table'!C36,2))</f>
        <v/>
      </c>
      <c r="E36" s="9">
        <f>IF(OR('Rate Table'!C36="",'Rate Table'!F36=""),"",ROUND('Rate Table'!F36-'Rate Table'!C36,2))</f>
        <v/>
      </c>
      <c r="F36" s="9">
        <f>IF(OR('Rate Table'!D36="",'Rate Table'!E36=""),"",ROUND('Rate Table'!E36-'Rate Table'!D36,2))</f>
        <v/>
      </c>
      <c r="G36" s="9">
        <f>IF(OR('Rate Table'!D36="",'Rate Table'!F36=""),"",ROUND('Rate Table'!F36-'Rate Table'!D36,2))</f>
        <v/>
      </c>
      <c r="H36" s="9">
        <f>IF(OR('Rate Table'!E36="",'Rate Table'!F36=""),"",ROUND('Rate Table'!F36-'Rate Table'!E36,2))</f>
        <v/>
      </c>
    </row>
    <row r="37">
      <c r="A37" s="9">
        <f>'Rate Table'!A37</f>
        <v/>
      </c>
      <c r="B37" s="9">
        <f>'Rate Table'!B37</f>
        <v/>
      </c>
      <c r="C37" s="9">
        <f>IF(OR('Rate Table'!C37="",'Rate Table'!D37=""),"",ROUND('Rate Table'!D37-'Rate Table'!C37,2))</f>
        <v/>
      </c>
      <c r="D37" s="9">
        <f>IF(OR('Rate Table'!C37="",'Rate Table'!E37=""),"",ROUND('Rate Table'!E37-'Rate Table'!C37,2))</f>
        <v/>
      </c>
      <c r="E37" s="9">
        <f>IF(OR('Rate Table'!C37="",'Rate Table'!F37=""),"",ROUND('Rate Table'!F37-'Rate Table'!C37,2))</f>
        <v/>
      </c>
      <c r="F37" s="9">
        <f>IF(OR('Rate Table'!D37="",'Rate Table'!E37=""),"",ROUND('Rate Table'!E37-'Rate Table'!D37,2))</f>
        <v/>
      </c>
      <c r="G37" s="9">
        <f>IF(OR('Rate Table'!D37="",'Rate Table'!F37=""),"",ROUND('Rate Table'!F37-'Rate Table'!D37,2))</f>
        <v/>
      </c>
      <c r="H37" s="9">
        <f>IF(OR('Rate Table'!E37="",'Rate Table'!F37=""),"",ROUND('Rate Table'!F37-'Rate Table'!E37,2))</f>
        <v/>
      </c>
    </row>
    <row r="38">
      <c r="A38" s="9">
        <f>'Rate Table'!A38</f>
        <v/>
      </c>
      <c r="B38" s="9">
        <f>'Rate Table'!B38</f>
        <v/>
      </c>
      <c r="C38" s="9">
        <f>IF(OR('Rate Table'!C38="",'Rate Table'!D38=""),"",ROUND('Rate Table'!D38-'Rate Table'!C38,2))</f>
        <v/>
      </c>
      <c r="D38" s="9">
        <f>IF(OR('Rate Table'!C38="",'Rate Table'!E38=""),"",ROUND('Rate Table'!E38-'Rate Table'!C38,2))</f>
        <v/>
      </c>
      <c r="E38" s="9">
        <f>IF(OR('Rate Table'!C38="",'Rate Table'!F38=""),"",ROUND('Rate Table'!F38-'Rate Table'!C38,2))</f>
        <v/>
      </c>
      <c r="F38" s="9">
        <f>IF(OR('Rate Table'!D38="",'Rate Table'!E38=""),"",ROUND('Rate Table'!E38-'Rate Table'!D38,2))</f>
        <v/>
      </c>
      <c r="G38" s="9">
        <f>IF(OR('Rate Table'!D38="",'Rate Table'!F38=""),"",ROUND('Rate Table'!F38-'Rate Table'!D38,2))</f>
        <v/>
      </c>
      <c r="H38" s="9">
        <f>IF(OR('Rate Table'!E38="",'Rate Table'!F38=""),"",ROUND('Rate Table'!F38-'Rate Table'!E38,2))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3"/>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전사 검증 — 원본 PDF 대조용</t>
        </is>
      </c>
    </row>
    <row r="2">
      <c r="A2" s="2" t="inlineStr">
        <is>
          <t>모든 검사는 살아있는 수식입니다. Rate Table 값을 고치면 즉시 다시 판정됩니다.</t>
        </is>
      </c>
    </row>
    <row r="4" ht="28" customHeight="1">
      <c r="A4" s="23" t="inlineStr">
        <is>
          <t>From</t>
        </is>
      </c>
      <c r="B4" s="23" t="inlineStr">
        <is>
          <t>To</t>
        </is>
      </c>
      <c r="C4" s="23" t="inlineStr">
        <is>
          <t>Sat − 1-Day</t>
        </is>
      </c>
      <c r="D4" s="23" t="inlineStr">
        <is>
          <t>33.07 규칙</t>
        </is>
      </c>
      <c r="E4" s="23" t="inlineStr">
        <is>
          <t>등급 순서</t>
        </is>
      </c>
      <c r="F4" s="23" t="inlineStr">
        <is>
          <t>Ground 단조</t>
        </is>
      </c>
      <c r="G4" s="23" t="inlineStr">
        <is>
          <t>3-Day 단조</t>
        </is>
      </c>
      <c r="H4" s="23" t="inlineStr">
        <is>
          <t>2-Day 단조</t>
        </is>
      </c>
      <c r="I4" s="23" t="inlineStr">
        <is>
          <t>1-Day 단조</t>
        </is>
      </c>
      <c r="J4" s="23" t="inlineStr">
        <is>
          <t>Sat 단조</t>
        </is>
      </c>
    </row>
    <row r="5">
      <c r="A5" s="9">
        <f>'Rate Table'!A5</f>
        <v/>
      </c>
      <c r="B5" s="9">
        <f>'Rate Table'!B5</f>
        <v/>
      </c>
      <c r="C5" s="9">
        <f>ROUND('Rate Table'!G5-'Rate Table'!F5,2)</f>
        <v/>
      </c>
      <c r="D5" s="24">
        <f>IF(AND(C5&gt;=33,C5&lt;=33.1),"OK","FAIL")</f>
        <v/>
      </c>
      <c r="E5" s="24">
        <f>IF(AND(IF('Rate Table'!C5="",TRUE,'Rate Table'!C5&lt;'Rate Table'!D5),'Rate Table'!D5&lt;'Rate Table'!E5,'Rate Table'!E5&lt;'Rate Table'!F5,'Rate Table'!F5&lt;'Rate Table'!G5),"OK","FAIL")</f>
        <v/>
      </c>
      <c r="F5" s="24" t="inlineStr">
        <is>
          <t>—</t>
        </is>
      </c>
      <c r="G5" s="24" t="inlineStr">
        <is>
          <t>—</t>
        </is>
      </c>
      <c r="H5" s="24" t="inlineStr">
        <is>
          <t>—</t>
        </is>
      </c>
      <c r="I5" s="24" t="inlineStr">
        <is>
          <t>—</t>
        </is>
      </c>
      <c r="J5" s="24" t="inlineStr">
        <is>
          <t>—</t>
        </is>
      </c>
    </row>
    <row r="6">
      <c r="A6" s="9">
        <f>'Rate Table'!A6</f>
        <v/>
      </c>
      <c r="B6" s="9">
        <f>'Rate Table'!B6</f>
        <v/>
      </c>
      <c r="C6" s="9">
        <f>ROUND('Rate Table'!G6-'Rate Table'!F6,2)</f>
        <v/>
      </c>
      <c r="D6" s="24">
        <f>IF(AND(C6&gt;=33,C6&lt;=33.1),"OK","FAIL")</f>
        <v/>
      </c>
      <c r="E6" s="24">
        <f>IF(AND(IF('Rate Table'!C6="",TRUE,'Rate Table'!C6&lt;'Rate Table'!D6),'Rate Table'!D6&lt;'Rate Table'!E6,'Rate Table'!E6&lt;'Rate Table'!F6,'Rate Table'!F6&lt;'Rate Table'!G6),"OK","FAIL")</f>
        <v/>
      </c>
      <c r="F6" s="24">
        <f>IF(OR('Rate Table'!C6="",'Rate Table'!C5=""),"—",IF('Rate Table'!C6&gt;='Rate Table'!C5,"OK","FAIL"))</f>
        <v/>
      </c>
      <c r="G6" s="24">
        <f>IF(OR('Rate Table'!D6="",'Rate Table'!D5=""),"—",IF('Rate Table'!D6&gt;='Rate Table'!D5,"OK","FAIL"))</f>
        <v/>
      </c>
      <c r="H6" s="24">
        <f>IF(OR('Rate Table'!E6="",'Rate Table'!E5=""),"—",IF('Rate Table'!E6&gt;='Rate Table'!E5,"OK","FAIL"))</f>
        <v/>
      </c>
      <c r="I6" s="24">
        <f>IF(OR('Rate Table'!F6="",'Rate Table'!F5=""),"—",IF('Rate Table'!F6&gt;='Rate Table'!F5,"OK","FAIL"))</f>
        <v/>
      </c>
      <c r="J6" s="24">
        <f>IF(OR('Rate Table'!G6="",'Rate Table'!G5=""),"—",IF('Rate Table'!G6&gt;='Rate Table'!G5,"OK","FAIL"))</f>
        <v/>
      </c>
    </row>
    <row r="7">
      <c r="A7" s="9">
        <f>'Rate Table'!A7</f>
        <v/>
      </c>
      <c r="B7" s="9">
        <f>'Rate Table'!B7</f>
        <v/>
      </c>
      <c r="C7" s="9">
        <f>ROUND('Rate Table'!G7-'Rate Table'!F7,2)</f>
        <v/>
      </c>
      <c r="D7" s="24">
        <f>IF(AND(C7&gt;=33,C7&lt;=33.1),"OK","FAIL")</f>
        <v/>
      </c>
      <c r="E7" s="24">
        <f>IF(AND(IF('Rate Table'!C7="",TRUE,'Rate Table'!C7&lt;'Rate Table'!D7),'Rate Table'!D7&lt;'Rate Table'!E7,'Rate Table'!E7&lt;'Rate Table'!F7,'Rate Table'!F7&lt;'Rate Table'!G7),"OK","FAIL")</f>
        <v/>
      </c>
      <c r="F7" s="24">
        <f>IF(OR('Rate Table'!C7="",'Rate Table'!C6=""),"—",IF('Rate Table'!C7&gt;='Rate Table'!C6,"OK","FAIL"))</f>
        <v/>
      </c>
      <c r="G7" s="24">
        <f>IF(OR('Rate Table'!D7="",'Rate Table'!D6=""),"—",IF('Rate Table'!D7&gt;='Rate Table'!D6,"OK","FAIL"))</f>
        <v/>
      </c>
      <c r="H7" s="24">
        <f>IF(OR('Rate Table'!E7="",'Rate Table'!E6=""),"—",IF('Rate Table'!E7&gt;='Rate Table'!E6,"OK","FAIL"))</f>
        <v/>
      </c>
      <c r="I7" s="24">
        <f>IF(OR('Rate Table'!F7="",'Rate Table'!F6=""),"—",IF('Rate Table'!F7&gt;='Rate Table'!F6,"OK","FAIL"))</f>
        <v/>
      </c>
      <c r="J7" s="24">
        <f>IF(OR('Rate Table'!G7="",'Rate Table'!G6=""),"—",IF('Rate Table'!G7&gt;='Rate Table'!G6,"OK","FAIL"))</f>
        <v/>
      </c>
    </row>
    <row r="8">
      <c r="A8" s="9">
        <f>'Rate Table'!A8</f>
        <v/>
      </c>
      <c r="B8" s="9">
        <f>'Rate Table'!B8</f>
        <v/>
      </c>
      <c r="C8" s="9">
        <f>ROUND('Rate Table'!G8-'Rate Table'!F8,2)</f>
        <v/>
      </c>
      <c r="D8" s="24">
        <f>IF(AND(C8&gt;=33,C8&lt;=33.1),"OK","FAIL")</f>
        <v/>
      </c>
      <c r="E8" s="24">
        <f>IF(AND(IF('Rate Table'!C8="",TRUE,'Rate Table'!C8&lt;'Rate Table'!D8),'Rate Table'!D8&lt;'Rate Table'!E8,'Rate Table'!E8&lt;'Rate Table'!F8,'Rate Table'!F8&lt;'Rate Table'!G8),"OK","FAIL")</f>
        <v/>
      </c>
      <c r="F8" s="24">
        <f>IF(OR('Rate Table'!C8="",'Rate Table'!C7=""),"—",IF('Rate Table'!C8&gt;='Rate Table'!C7,"OK","FAIL"))</f>
        <v/>
      </c>
      <c r="G8" s="24">
        <f>IF(OR('Rate Table'!D8="",'Rate Table'!D7=""),"—",IF('Rate Table'!D8&gt;='Rate Table'!D7,"OK","FAIL"))</f>
        <v/>
      </c>
      <c r="H8" s="24">
        <f>IF(OR('Rate Table'!E8="",'Rate Table'!E7=""),"—",IF('Rate Table'!E8&gt;='Rate Table'!E7,"OK","FAIL"))</f>
        <v/>
      </c>
      <c r="I8" s="24">
        <f>IF(OR('Rate Table'!F8="",'Rate Table'!F7=""),"—",IF('Rate Table'!F8&gt;='Rate Table'!F7,"OK","FAIL"))</f>
        <v/>
      </c>
      <c r="J8" s="24">
        <f>IF(OR('Rate Table'!G8="",'Rate Table'!G7=""),"—",IF('Rate Table'!G8&gt;='Rate Table'!G7,"OK","FAIL"))</f>
        <v/>
      </c>
    </row>
    <row r="9">
      <c r="A9" s="9">
        <f>'Rate Table'!A9</f>
        <v/>
      </c>
      <c r="B9" s="9">
        <f>'Rate Table'!B9</f>
        <v/>
      </c>
      <c r="C9" s="9">
        <f>ROUND('Rate Table'!G9-'Rate Table'!F9,2)</f>
        <v/>
      </c>
      <c r="D9" s="24">
        <f>IF(AND(C9&gt;=33,C9&lt;=33.1),"OK","FAIL")</f>
        <v/>
      </c>
      <c r="E9" s="24">
        <f>IF(AND(IF('Rate Table'!C9="",TRUE,'Rate Table'!C9&lt;'Rate Table'!D9),'Rate Table'!D9&lt;'Rate Table'!E9,'Rate Table'!E9&lt;'Rate Table'!F9,'Rate Table'!F9&lt;'Rate Table'!G9),"OK","FAIL")</f>
        <v/>
      </c>
      <c r="F9" s="24">
        <f>IF(OR('Rate Table'!C9="",'Rate Table'!C8=""),"—",IF('Rate Table'!C9&gt;='Rate Table'!C8,"OK","FAIL"))</f>
        <v/>
      </c>
      <c r="G9" s="24">
        <f>IF(OR('Rate Table'!D9="",'Rate Table'!D8=""),"—",IF('Rate Table'!D9&gt;='Rate Table'!D8,"OK","FAIL"))</f>
        <v/>
      </c>
      <c r="H9" s="24">
        <f>IF(OR('Rate Table'!E9="",'Rate Table'!E8=""),"—",IF('Rate Table'!E9&gt;='Rate Table'!E8,"OK","FAIL"))</f>
        <v/>
      </c>
      <c r="I9" s="24">
        <f>IF(OR('Rate Table'!F9="",'Rate Table'!F8=""),"—",IF('Rate Table'!F9&gt;='Rate Table'!F8,"OK","FAIL"))</f>
        <v/>
      </c>
      <c r="J9" s="24">
        <f>IF(OR('Rate Table'!G9="",'Rate Table'!G8=""),"—",IF('Rate Table'!G9&gt;='Rate Table'!G8,"OK","FAIL"))</f>
        <v/>
      </c>
    </row>
    <row r="10">
      <c r="A10" s="9">
        <f>'Rate Table'!A10</f>
        <v/>
      </c>
      <c r="B10" s="9">
        <f>'Rate Table'!B10</f>
        <v/>
      </c>
      <c r="C10" s="9">
        <f>ROUND('Rate Table'!G10-'Rate Table'!F10,2)</f>
        <v/>
      </c>
      <c r="D10" s="24">
        <f>IF(AND(C10&gt;=33,C10&lt;=33.1),"OK","FAIL")</f>
        <v/>
      </c>
      <c r="E10" s="24">
        <f>IF(AND(IF('Rate Table'!C10="",TRUE,'Rate Table'!C10&lt;'Rate Table'!D10),'Rate Table'!D10&lt;'Rate Table'!E10,'Rate Table'!E10&lt;'Rate Table'!F10,'Rate Table'!F10&lt;'Rate Table'!G10),"OK","FAIL")</f>
        <v/>
      </c>
      <c r="F10" s="24">
        <f>IF(OR('Rate Table'!C10="",'Rate Table'!C9=""),"—",IF('Rate Table'!C10&gt;='Rate Table'!C9,"OK","FAIL"))</f>
        <v/>
      </c>
      <c r="G10" s="24">
        <f>IF(OR('Rate Table'!D10="",'Rate Table'!D9=""),"—",IF('Rate Table'!D10&gt;='Rate Table'!D9,"OK","FAIL"))</f>
        <v/>
      </c>
      <c r="H10" s="24">
        <f>IF(OR('Rate Table'!E10="",'Rate Table'!E9=""),"—",IF('Rate Table'!E10&gt;='Rate Table'!E9,"OK","FAIL"))</f>
        <v/>
      </c>
      <c r="I10" s="24">
        <f>IF(OR('Rate Table'!F10="",'Rate Table'!F9=""),"—",IF('Rate Table'!F10&gt;='Rate Table'!F9,"OK","FAIL"))</f>
        <v/>
      </c>
      <c r="J10" s="24">
        <f>IF(OR('Rate Table'!G10="",'Rate Table'!G9=""),"—",IF('Rate Table'!G10&gt;='Rate Table'!G9,"OK","FAIL"))</f>
        <v/>
      </c>
    </row>
    <row r="11">
      <c r="A11" s="9">
        <f>'Rate Table'!A11</f>
        <v/>
      </c>
      <c r="B11" s="9">
        <f>'Rate Table'!B11</f>
        <v/>
      </c>
      <c r="C11" s="9">
        <f>ROUND('Rate Table'!G11-'Rate Table'!F11,2)</f>
        <v/>
      </c>
      <c r="D11" s="24">
        <f>IF(AND(C11&gt;=33,C11&lt;=33.1),"OK","FAIL")</f>
        <v/>
      </c>
      <c r="E11" s="24">
        <f>IF(AND(IF('Rate Table'!C11="",TRUE,'Rate Table'!C11&lt;'Rate Table'!D11),'Rate Table'!D11&lt;'Rate Table'!E11,'Rate Table'!E11&lt;'Rate Table'!F11,'Rate Table'!F11&lt;'Rate Table'!G11),"OK","FAIL")</f>
        <v/>
      </c>
      <c r="F11" s="24">
        <f>IF(OR('Rate Table'!C11="",'Rate Table'!C10=""),"—",IF('Rate Table'!C11&gt;='Rate Table'!C10,"OK","FAIL"))</f>
        <v/>
      </c>
      <c r="G11" s="24">
        <f>IF(OR('Rate Table'!D11="",'Rate Table'!D10=""),"—",IF('Rate Table'!D11&gt;='Rate Table'!D10,"OK","FAIL"))</f>
        <v/>
      </c>
      <c r="H11" s="24">
        <f>IF(OR('Rate Table'!E11="",'Rate Table'!E10=""),"—",IF('Rate Table'!E11&gt;='Rate Table'!E10,"OK","FAIL"))</f>
        <v/>
      </c>
      <c r="I11" s="24">
        <f>IF(OR('Rate Table'!F11="",'Rate Table'!F10=""),"—",IF('Rate Table'!F11&gt;='Rate Table'!F10,"OK","FAIL"))</f>
        <v/>
      </c>
      <c r="J11" s="24">
        <f>IF(OR('Rate Table'!G11="",'Rate Table'!G10=""),"—",IF('Rate Table'!G11&gt;='Rate Table'!G10,"OK","FAIL"))</f>
        <v/>
      </c>
    </row>
    <row r="12">
      <c r="A12" s="9">
        <f>'Rate Table'!A12</f>
        <v/>
      </c>
      <c r="B12" s="9">
        <f>'Rate Table'!B12</f>
        <v/>
      </c>
      <c r="C12" s="9">
        <f>ROUND('Rate Table'!G12-'Rate Table'!F12,2)</f>
        <v/>
      </c>
      <c r="D12" s="24">
        <f>IF(AND(C12&gt;=33,C12&lt;=33.1),"OK","FAIL")</f>
        <v/>
      </c>
      <c r="E12" s="24">
        <f>IF(AND(IF('Rate Table'!C12="",TRUE,'Rate Table'!C12&lt;'Rate Table'!D12),'Rate Table'!D12&lt;'Rate Table'!E12,'Rate Table'!E12&lt;'Rate Table'!F12,'Rate Table'!F12&lt;'Rate Table'!G12),"OK","FAIL")</f>
        <v/>
      </c>
      <c r="F12" s="24">
        <f>IF(OR('Rate Table'!C12="",'Rate Table'!C11=""),"—",IF('Rate Table'!C12&gt;='Rate Table'!C11,"OK","FAIL"))</f>
        <v/>
      </c>
      <c r="G12" s="24">
        <f>IF(OR('Rate Table'!D12="",'Rate Table'!D11=""),"—",IF('Rate Table'!D12&gt;='Rate Table'!D11,"OK","FAIL"))</f>
        <v/>
      </c>
      <c r="H12" s="24">
        <f>IF(OR('Rate Table'!E12="",'Rate Table'!E11=""),"—",IF('Rate Table'!E12&gt;='Rate Table'!E11,"OK","FAIL"))</f>
        <v/>
      </c>
      <c r="I12" s="24">
        <f>IF(OR('Rate Table'!F12="",'Rate Table'!F11=""),"—",IF('Rate Table'!F12&gt;='Rate Table'!F11,"OK","FAIL"))</f>
        <v/>
      </c>
      <c r="J12" s="24">
        <f>IF(OR('Rate Table'!G12="",'Rate Table'!G11=""),"—",IF('Rate Table'!G12&gt;='Rate Table'!G11,"OK","FAIL"))</f>
        <v/>
      </c>
    </row>
    <row r="13">
      <c r="A13" s="9">
        <f>'Rate Table'!A13</f>
        <v/>
      </c>
      <c r="B13" s="9">
        <f>'Rate Table'!B13</f>
        <v/>
      </c>
      <c r="C13" s="9">
        <f>ROUND('Rate Table'!G13-'Rate Table'!F13,2)</f>
        <v/>
      </c>
      <c r="D13" s="24">
        <f>IF(AND(C13&gt;=33,C13&lt;=33.1),"OK","FAIL")</f>
        <v/>
      </c>
      <c r="E13" s="24">
        <f>IF(AND(IF('Rate Table'!C13="",TRUE,'Rate Table'!C13&lt;'Rate Table'!D13),'Rate Table'!D13&lt;'Rate Table'!E13,'Rate Table'!E13&lt;'Rate Table'!F13,'Rate Table'!F13&lt;'Rate Table'!G13),"OK","FAIL")</f>
        <v/>
      </c>
      <c r="F13" s="24">
        <f>IF(OR('Rate Table'!C13="",'Rate Table'!C12=""),"—",IF('Rate Table'!C13&gt;='Rate Table'!C12,"OK","FAIL"))</f>
        <v/>
      </c>
      <c r="G13" s="24">
        <f>IF(OR('Rate Table'!D13="",'Rate Table'!D12=""),"—",IF('Rate Table'!D13&gt;='Rate Table'!D12,"OK","FAIL"))</f>
        <v/>
      </c>
      <c r="H13" s="24">
        <f>IF(OR('Rate Table'!E13="",'Rate Table'!E12=""),"—",IF('Rate Table'!E13&gt;='Rate Table'!E12,"OK","FAIL"))</f>
        <v/>
      </c>
      <c r="I13" s="24">
        <f>IF(OR('Rate Table'!F13="",'Rate Table'!F12=""),"—",IF('Rate Table'!F13&gt;='Rate Table'!F12,"OK","FAIL"))</f>
        <v/>
      </c>
      <c r="J13" s="24">
        <f>IF(OR('Rate Table'!G13="",'Rate Table'!G12=""),"—",IF('Rate Table'!G13&gt;='Rate Table'!G12,"OK","FAIL"))</f>
        <v/>
      </c>
    </row>
    <row r="14">
      <c r="A14" s="9">
        <f>'Rate Table'!A14</f>
        <v/>
      </c>
      <c r="B14" s="9">
        <f>'Rate Table'!B14</f>
        <v/>
      </c>
      <c r="C14" s="9">
        <f>ROUND('Rate Table'!G14-'Rate Table'!F14,2)</f>
        <v/>
      </c>
      <c r="D14" s="24">
        <f>IF(AND(C14&gt;=33,C14&lt;=33.1),"OK","FAIL")</f>
        <v/>
      </c>
      <c r="E14" s="24">
        <f>IF(AND(IF('Rate Table'!C14="",TRUE,'Rate Table'!C14&lt;'Rate Table'!D14),'Rate Table'!D14&lt;'Rate Table'!E14,'Rate Table'!E14&lt;'Rate Table'!F14,'Rate Table'!F14&lt;'Rate Table'!G14),"OK","FAIL")</f>
        <v/>
      </c>
      <c r="F14" s="24">
        <f>IF(OR('Rate Table'!C14="",'Rate Table'!C13=""),"—",IF('Rate Table'!C14&gt;='Rate Table'!C13,"OK","FAIL"))</f>
        <v/>
      </c>
      <c r="G14" s="24">
        <f>IF(OR('Rate Table'!D14="",'Rate Table'!D13=""),"—",IF('Rate Table'!D14&gt;='Rate Table'!D13,"OK","FAIL"))</f>
        <v/>
      </c>
      <c r="H14" s="24">
        <f>IF(OR('Rate Table'!E14="",'Rate Table'!E13=""),"—",IF('Rate Table'!E14&gt;='Rate Table'!E13,"OK","FAIL"))</f>
        <v/>
      </c>
      <c r="I14" s="24">
        <f>IF(OR('Rate Table'!F14="",'Rate Table'!F13=""),"—",IF('Rate Table'!F14&gt;='Rate Table'!F13,"OK","FAIL"))</f>
        <v/>
      </c>
      <c r="J14" s="24">
        <f>IF(OR('Rate Table'!G14="",'Rate Table'!G13=""),"—",IF('Rate Table'!G14&gt;='Rate Table'!G13,"OK","FAIL"))</f>
        <v/>
      </c>
    </row>
    <row r="15">
      <c r="A15" s="9">
        <f>'Rate Table'!A15</f>
        <v/>
      </c>
      <c r="B15" s="9">
        <f>'Rate Table'!B15</f>
        <v/>
      </c>
      <c r="C15" s="9">
        <f>ROUND('Rate Table'!G15-'Rate Table'!F15,2)</f>
        <v/>
      </c>
      <c r="D15" s="24">
        <f>IF(AND(C15&gt;=33,C15&lt;=33.1),"OK","FAIL")</f>
        <v/>
      </c>
      <c r="E15" s="24">
        <f>IF(AND(IF('Rate Table'!C15="",TRUE,'Rate Table'!C15&lt;'Rate Table'!D15),'Rate Table'!D15&lt;'Rate Table'!E15,'Rate Table'!E15&lt;'Rate Table'!F15,'Rate Table'!F15&lt;'Rate Table'!G15),"OK","FAIL")</f>
        <v/>
      </c>
      <c r="F15" s="24">
        <f>IF(OR('Rate Table'!C15="",'Rate Table'!C14=""),"—",IF('Rate Table'!C15&gt;='Rate Table'!C14,"OK","FAIL"))</f>
        <v/>
      </c>
      <c r="G15" s="24">
        <f>IF(OR('Rate Table'!D15="",'Rate Table'!D14=""),"—",IF('Rate Table'!D15&gt;='Rate Table'!D14,"OK","FAIL"))</f>
        <v/>
      </c>
      <c r="H15" s="24">
        <f>IF(OR('Rate Table'!E15="",'Rate Table'!E14=""),"—",IF('Rate Table'!E15&gt;='Rate Table'!E14,"OK","FAIL"))</f>
        <v/>
      </c>
      <c r="I15" s="24">
        <f>IF(OR('Rate Table'!F15="",'Rate Table'!F14=""),"—",IF('Rate Table'!F15&gt;='Rate Table'!F14,"OK","FAIL"))</f>
        <v/>
      </c>
      <c r="J15" s="24">
        <f>IF(OR('Rate Table'!G15="",'Rate Table'!G14=""),"—",IF('Rate Table'!G15&gt;='Rate Table'!G14,"OK","FAIL"))</f>
        <v/>
      </c>
    </row>
    <row r="16">
      <c r="A16" s="9">
        <f>'Rate Table'!A16</f>
        <v/>
      </c>
      <c r="B16" s="9">
        <f>'Rate Table'!B16</f>
        <v/>
      </c>
      <c r="C16" s="9">
        <f>ROUND('Rate Table'!G16-'Rate Table'!F16,2)</f>
        <v/>
      </c>
      <c r="D16" s="24">
        <f>IF(AND(C16&gt;=33,C16&lt;=33.1),"OK","FAIL")</f>
        <v/>
      </c>
      <c r="E16" s="24">
        <f>IF(AND(IF('Rate Table'!C16="",TRUE,'Rate Table'!C16&lt;'Rate Table'!D16),'Rate Table'!D16&lt;'Rate Table'!E16,'Rate Table'!E16&lt;'Rate Table'!F16,'Rate Table'!F16&lt;'Rate Table'!G16),"OK","FAIL")</f>
        <v/>
      </c>
      <c r="F16" s="24">
        <f>IF(OR('Rate Table'!C16="",'Rate Table'!C15=""),"—",IF('Rate Table'!C16&gt;='Rate Table'!C15,"OK","FAIL"))</f>
        <v/>
      </c>
      <c r="G16" s="24">
        <f>IF(OR('Rate Table'!D16="",'Rate Table'!D15=""),"—",IF('Rate Table'!D16&gt;='Rate Table'!D15,"OK","FAIL"))</f>
        <v/>
      </c>
      <c r="H16" s="24">
        <f>IF(OR('Rate Table'!E16="",'Rate Table'!E15=""),"—",IF('Rate Table'!E16&gt;='Rate Table'!E15,"OK","FAIL"))</f>
        <v/>
      </c>
      <c r="I16" s="24">
        <f>IF(OR('Rate Table'!F16="",'Rate Table'!F15=""),"—",IF('Rate Table'!F16&gt;='Rate Table'!F15,"OK","FAIL"))</f>
        <v/>
      </c>
      <c r="J16" s="24">
        <f>IF(OR('Rate Table'!G16="",'Rate Table'!G15=""),"—",IF('Rate Table'!G16&gt;='Rate Table'!G15,"OK","FAIL"))</f>
        <v/>
      </c>
    </row>
    <row r="17">
      <c r="A17" s="9">
        <f>'Rate Table'!A17</f>
        <v/>
      </c>
      <c r="B17" s="9">
        <f>'Rate Table'!B17</f>
        <v/>
      </c>
      <c r="C17" s="9">
        <f>ROUND('Rate Table'!G17-'Rate Table'!F17,2)</f>
        <v/>
      </c>
      <c r="D17" s="24">
        <f>IF(AND(C17&gt;=33,C17&lt;=33.1),"OK","FAIL")</f>
        <v/>
      </c>
      <c r="E17" s="24">
        <f>IF(AND(IF('Rate Table'!C17="",TRUE,'Rate Table'!C17&lt;'Rate Table'!D17),'Rate Table'!D17&lt;'Rate Table'!E17,'Rate Table'!E17&lt;'Rate Table'!F17,'Rate Table'!F17&lt;'Rate Table'!G17),"OK","FAIL")</f>
        <v/>
      </c>
      <c r="F17" s="24">
        <f>IF(OR('Rate Table'!C17="",'Rate Table'!C16=""),"—",IF('Rate Table'!C17&gt;='Rate Table'!C16,"OK","FAIL"))</f>
        <v/>
      </c>
      <c r="G17" s="24">
        <f>IF(OR('Rate Table'!D17="",'Rate Table'!D16=""),"—",IF('Rate Table'!D17&gt;='Rate Table'!D16,"OK","FAIL"))</f>
        <v/>
      </c>
      <c r="H17" s="24">
        <f>IF(OR('Rate Table'!E17="",'Rate Table'!E16=""),"—",IF('Rate Table'!E17&gt;='Rate Table'!E16,"OK","FAIL"))</f>
        <v/>
      </c>
      <c r="I17" s="24">
        <f>IF(OR('Rate Table'!F17="",'Rate Table'!F16=""),"—",IF('Rate Table'!F17&gt;='Rate Table'!F16,"OK","FAIL"))</f>
        <v/>
      </c>
      <c r="J17" s="24">
        <f>IF(OR('Rate Table'!G17="",'Rate Table'!G16=""),"—",IF('Rate Table'!G17&gt;='Rate Table'!G16,"OK","FAIL"))</f>
        <v/>
      </c>
    </row>
    <row r="18">
      <c r="A18" s="9">
        <f>'Rate Table'!A18</f>
        <v/>
      </c>
      <c r="B18" s="9">
        <f>'Rate Table'!B18</f>
        <v/>
      </c>
      <c r="C18" s="9">
        <f>ROUND('Rate Table'!G18-'Rate Table'!F18,2)</f>
        <v/>
      </c>
      <c r="D18" s="24">
        <f>IF(AND(C18&gt;=33,C18&lt;=33.1),"OK","FAIL")</f>
        <v/>
      </c>
      <c r="E18" s="24">
        <f>IF(AND(IF('Rate Table'!C18="",TRUE,'Rate Table'!C18&lt;'Rate Table'!D18),'Rate Table'!D18&lt;'Rate Table'!E18,'Rate Table'!E18&lt;'Rate Table'!F18,'Rate Table'!F18&lt;'Rate Table'!G18),"OK","FAIL")</f>
        <v/>
      </c>
      <c r="F18" s="24">
        <f>IF(OR('Rate Table'!C18="",'Rate Table'!C17=""),"—",IF('Rate Table'!C18&gt;='Rate Table'!C17,"OK","FAIL"))</f>
        <v/>
      </c>
      <c r="G18" s="24">
        <f>IF(OR('Rate Table'!D18="",'Rate Table'!D17=""),"—",IF('Rate Table'!D18&gt;='Rate Table'!D17,"OK","FAIL"))</f>
        <v/>
      </c>
      <c r="H18" s="24">
        <f>IF(OR('Rate Table'!E18="",'Rate Table'!E17=""),"—",IF('Rate Table'!E18&gt;='Rate Table'!E17,"OK","FAIL"))</f>
        <v/>
      </c>
      <c r="I18" s="24">
        <f>IF(OR('Rate Table'!F18="",'Rate Table'!F17=""),"—",IF('Rate Table'!F18&gt;='Rate Table'!F17,"OK","FAIL"))</f>
        <v/>
      </c>
      <c r="J18" s="24">
        <f>IF(OR('Rate Table'!G18="",'Rate Table'!G17=""),"—",IF('Rate Table'!G18&gt;='Rate Table'!G17,"OK","FAIL"))</f>
        <v/>
      </c>
    </row>
    <row r="19">
      <c r="A19" s="9">
        <f>'Rate Table'!A19</f>
        <v/>
      </c>
      <c r="B19" s="9">
        <f>'Rate Table'!B19</f>
        <v/>
      </c>
      <c r="C19" s="9">
        <f>ROUND('Rate Table'!G19-'Rate Table'!F19,2)</f>
        <v/>
      </c>
      <c r="D19" s="24">
        <f>IF(AND(C19&gt;=33,C19&lt;=33.1),"OK","FAIL")</f>
        <v/>
      </c>
      <c r="E19" s="24">
        <f>IF(AND(IF('Rate Table'!C19="",TRUE,'Rate Table'!C19&lt;'Rate Table'!D19),'Rate Table'!D19&lt;'Rate Table'!E19,'Rate Table'!E19&lt;'Rate Table'!F19,'Rate Table'!F19&lt;'Rate Table'!G19),"OK","FAIL")</f>
        <v/>
      </c>
      <c r="F19" s="24">
        <f>IF(OR('Rate Table'!C19="",'Rate Table'!C18=""),"—",IF('Rate Table'!C19&gt;='Rate Table'!C18,"OK","FAIL"))</f>
        <v/>
      </c>
      <c r="G19" s="24">
        <f>IF(OR('Rate Table'!D19="",'Rate Table'!D18=""),"—",IF('Rate Table'!D19&gt;='Rate Table'!D18,"OK","FAIL"))</f>
        <v/>
      </c>
      <c r="H19" s="24">
        <f>IF(OR('Rate Table'!E19="",'Rate Table'!E18=""),"—",IF('Rate Table'!E19&gt;='Rate Table'!E18,"OK","FAIL"))</f>
        <v/>
      </c>
      <c r="I19" s="24">
        <f>IF(OR('Rate Table'!F19="",'Rate Table'!F18=""),"—",IF('Rate Table'!F19&gt;='Rate Table'!F18,"OK","FAIL"))</f>
        <v/>
      </c>
      <c r="J19" s="24">
        <f>IF(OR('Rate Table'!G19="",'Rate Table'!G18=""),"—",IF('Rate Table'!G19&gt;='Rate Table'!G18,"OK","FAIL"))</f>
        <v/>
      </c>
    </row>
    <row r="20">
      <c r="A20" s="9">
        <f>'Rate Table'!A20</f>
        <v/>
      </c>
      <c r="B20" s="9">
        <f>'Rate Table'!B20</f>
        <v/>
      </c>
      <c r="C20" s="9">
        <f>ROUND('Rate Table'!G20-'Rate Table'!F20,2)</f>
        <v/>
      </c>
      <c r="D20" s="24">
        <f>IF(AND(C20&gt;=33,C20&lt;=33.1),"OK","FAIL")</f>
        <v/>
      </c>
      <c r="E20" s="24">
        <f>IF(AND(IF('Rate Table'!C20="",TRUE,'Rate Table'!C20&lt;'Rate Table'!D20),'Rate Table'!D20&lt;'Rate Table'!E20,'Rate Table'!E20&lt;'Rate Table'!F20,'Rate Table'!F20&lt;'Rate Table'!G20),"OK","FAIL")</f>
        <v/>
      </c>
      <c r="F20" s="24">
        <f>IF(OR('Rate Table'!C20="",'Rate Table'!C19=""),"—",IF('Rate Table'!C20&gt;='Rate Table'!C19,"OK","FAIL"))</f>
        <v/>
      </c>
      <c r="G20" s="24">
        <f>IF(OR('Rate Table'!D20="",'Rate Table'!D19=""),"—",IF('Rate Table'!D20&gt;='Rate Table'!D19,"OK","FAIL"))</f>
        <v/>
      </c>
      <c r="H20" s="24">
        <f>IF(OR('Rate Table'!E20="",'Rate Table'!E19=""),"—",IF('Rate Table'!E20&gt;='Rate Table'!E19,"OK","FAIL"))</f>
        <v/>
      </c>
      <c r="I20" s="24">
        <f>IF(OR('Rate Table'!F20="",'Rate Table'!F19=""),"—",IF('Rate Table'!F20&gt;='Rate Table'!F19,"OK","FAIL"))</f>
        <v/>
      </c>
      <c r="J20" s="24">
        <f>IF(OR('Rate Table'!G20="",'Rate Table'!G19=""),"—",IF('Rate Table'!G20&gt;='Rate Table'!G19,"OK","FAIL"))</f>
        <v/>
      </c>
    </row>
    <row r="21">
      <c r="A21" s="9">
        <f>'Rate Table'!A21</f>
        <v/>
      </c>
      <c r="B21" s="9">
        <f>'Rate Table'!B21</f>
        <v/>
      </c>
      <c r="C21" s="9">
        <f>ROUND('Rate Table'!G21-'Rate Table'!F21,2)</f>
        <v/>
      </c>
      <c r="D21" s="24">
        <f>IF(AND(C21&gt;=33,C21&lt;=33.1),"OK","FAIL")</f>
        <v/>
      </c>
      <c r="E21" s="24">
        <f>IF(AND(IF('Rate Table'!C21="",TRUE,'Rate Table'!C21&lt;'Rate Table'!D21),'Rate Table'!D21&lt;'Rate Table'!E21,'Rate Table'!E21&lt;'Rate Table'!F21,'Rate Table'!F21&lt;'Rate Table'!G21),"OK","FAIL")</f>
        <v/>
      </c>
      <c r="F21" s="24">
        <f>IF(OR('Rate Table'!C21="",'Rate Table'!C20=""),"—",IF('Rate Table'!C21&gt;='Rate Table'!C20,"OK","FAIL"))</f>
        <v/>
      </c>
      <c r="G21" s="24">
        <f>IF(OR('Rate Table'!D21="",'Rate Table'!D20=""),"—",IF('Rate Table'!D21&gt;='Rate Table'!D20,"OK","FAIL"))</f>
        <v/>
      </c>
      <c r="H21" s="24">
        <f>IF(OR('Rate Table'!E21="",'Rate Table'!E20=""),"—",IF('Rate Table'!E21&gt;='Rate Table'!E20,"OK","FAIL"))</f>
        <v/>
      </c>
      <c r="I21" s="24">
        <f>IF(OR('Rate Table'!F21="",'Rate Table'!F20=""),"—",IF('Rate Table'!F21&gt;='Rate Table'!F20,"OK","FAIL"))</f>
        <v/>
      </c>
      <c r="J21" s="24">
        <f>IF(OR('Rate Table'!G21="",'Rate Table'!G20=""),"—",IF('Rate Table'!G21&gt;='Rate Table'!G20,"OK","FAIL"))</f>
        <v/>
      </c>
    </row>
    <row r="22">
      <c r="A22" s="9">
        <f>'Rate Table'!A22</f>
        <v/>
      </c>
      <c r="B22" s="9">
        <f>'Rate Table'!B22</f>
        <v/>
      </c>
      <c r="C22" s="9">
        <f>ROUND('Rate Table'!G22-'Rate Table'!F22,2)</f>
        <v/>
      </c>
      <c r="D22" s="24">
        <f>IF(AND(C22&gt;=33,C22&lt;=33.1),"OK","FAIL")</f>
        <v/>
      </c>
      <c r="E22" s="24">
        <f>IF(AND(IF('Rate Table'!C22="",TRUE,'Rate Table'!C22&lt;'Rate Table'!D22),'Rate Table'!D22&lt;'Rate Table'!E22,'Rate Table'!E22&lt;'Rate Table'!F22,'Rate Table'!F22&lt;'Rate Table'!G22),"OK","FAIL")</f>
        <v/>
      </c>
      <c r="F22" s="24">
        <f>IF(OR('Rate Table'!C22="",'Rate Table'!C21=""),"—",IF('Rate Table'!C22&gt;='Rate Table'!C21,"OK","FAIL"))</f>
        <v/>
      </c>
      <c r="G22" s="24">
        <f>IF(OR('Rate Table'!D22="",'Rate Table'!D21=""),"—",IF('Rate Table'!D22&gt;='Rate Table'!D21,"OK","FAIL"))</f>
        <v/>
      </c>
      <c r="H22" s="24">
        <f>IF(OR('Rate Table'!E22="",'Rate Table'!E21=""),"—",IF('Rate Table'!E22&gt;='Rate Table'!E21,"OK","FAIL"))</f>
        <v/>
      </c>
      <c r="I22" s="24">
        <f>IF(OR('Rate Table'!F22="",'Rate Table'!F21=""),"—",IF('Rate Table'!F22&gt;='Rate Table'!F21,"OK","FAIL"))</f>
        <v/>
      </c>
      <c r="J22" s="24">
        <f>IF(OR('Rate Table'!G22="",'Rate Table'!G21=""),"—",IF('Rate Table'!G22&gt;='Rate Table'!G21,"OK","FAIL"))</f>
        <v/>
      </c>
    </row>
    <row r="23">
      <c r="A23" s="9">
        <f>'Rate Table'!A23</f>
        <v/>
      </c>
      <c r="B23" s="9">
        <f>'Rate Table'!B23</f>
        <v/>
      </c>
      <c r="C23" s="9">
        <f>ROUND('Rate Table'!G23-'Rate Table'!F23,2)</f>
        <v/>
      </c>
      <c r="D23" s="24">
        <f>IF(AND(C23&gt;=33,C23&lt;=33.1),"OK","FAIL")</f>
        <v/>
      </c>
      <c r="E23" s="24">
        <f>IF(AND(IF('Rate Table'!C23="",TRUE,'Rate Table'!C23&lt;'Rate Table'!D23),'Rate Table'!D23&lt;'Rate Table'!E23,'Rate Table'!E23&lt;'Rate Table'!F23,'Rate Table'!F23&lt;'Rate Table'!G23),"OK","FAIL")</f>
        <v/>
      </c>
      <c r="F23" s="24">
        <f>IF(OR('Rate Table'!C23="",'Rate Table'!C22=""),"—",IF('Rate Table'!C23&gt;='Rate Table'!C22,"OK","FAIL"))</f>
        <v/>
      </c>
      <c r="G23" s="24">
        <f>IF(OR('Rate Table'!D23="",'Rate Table'!D22=""),"—",IF('Rate Table'!D23&gt;='Rate Table'!D22,"OK","FAIL"))</f>
        <v/>
      </c>
      <c r="H23" s="24">
        <f>IF(OR('Rate Table'!E23="",'Rate Table'!E22=""),"—",IF('Rate Table'!E23&gt;='Rate Table'!E22,"OK","FAIL"))</f>
        <v/>
      </c>
      <c r="I23" s="24">
        <f>IF(OR('Rate Table'!F23="",'Rate Table'!F22=""),"—",IF('Rate Table'!F23&gt;='Rate Table'!F22,"OK","FAIL"))</f>
        <v/>
      </c>
      <c r="J23" s="24">
        <f>IF(OR('Rate Table'!G23="",'Rate Table'!G22=""),"—",IF('Rate Table'!G23&gt;='Rate Table'!G22,"OK","FAIL"))</f>
        <v/>
      </c>
    </row>
    <row r="24">
      <c r="A24" s="9">
        <f>'Rate Table'!A24</f>
        <v/>
      </c>
      <c r="B24" s="9">
        <f>'Rate Table'!B24</f>
        <v/>
      </c>
      <c r="C24" s="9">
        <f>ROUND('Rate Table'!G24-'Rate Table'!F24,2)</f>
        <v/>
      </c>
      <c r="D24" s="24">
        <f>IF(AND(C24&gt;=33,C24&lt;=33.1),"OK","FAIL")</f>
        <v/>
      </c>
      <c r="E24" s="24">
        <f>IF(AND(IF('Rate Table'!C24="",TRUE,'Rate Table'!C24&lt;'Rate Table'!D24),'Rate Table'!D24&lt;'Rate Table'!E24,'Rate Table'!E24&lt;'Rate Table'!F24,'Rate Table'!F24&lt;'Rate Table'!G24),"OK","FAIL")</f>
        <v/>
      </c>
      <c r="F24" s="24">
        <f>IF(OR('Rate Table'!C24="",'Rate Table'!C23=""),"—",IF('Rate Table'!C24&gt;='Rate Table'!C23,"OK","FAIL"))</f>
        <v/>
      </c>
      <c r="G24" s="24">
        <f>IF(OR('Rate Table'!D24="",'Rate Table'!D23=""),"—",IF('Rate Table'!D24&gt;='Rate Table'!D23,"OK","FAIL"))</f>
        <v/>
      </c>
      <c r="H24" s="24">
        <f>IF(OR('Rate Table'!E24="",'Rate Table'!E23=""),"—",IF('Rate Table'!E24&gt;='Rate Table'!E23,"OK","FAIL"))</f>
        <v/>
      </c>
      <c r="I24" s="24">
        <f>IF(OR('Rate Table'!F24="",'Rate Table'!F23=""),"—",IF('Rate Table'!F24&gt;='Rate Table'!F23,"OK","FAIL"))</f>
        <v/>
      </c>
      <c r="J24" s="24">
        <f>IF(OR('Rate Table'!G24="",'Rate Table'!G23=""),"—",IF('Rate Table'!G24&gt;='Rate Table'!G23,"OK","FAIL"))</f>
        <v/>
      </c>
    </row>
    <row r="25">
      <c r="A25" s="9">
        <f>'Rate Table'!A25</f>
        <v/>
      </c>
      <c r="B25" s="9">
        <f>'Rate Table'!B25</f>
        <v/>
      </c>
      <c r="C25" s="9">
        <f>ROUND('Rate Table'!G25-'Rate Table'!F25,2)</f>
        <v/>
      </c>
      <c r="D25" s="24">
        <f>IF(AND(C25&gt;=33,C25&lt;=33.1),"OK","FAIL")</f>
        <v/>
      </c>
      <c r="E25" s="24">
        <f>IF(AND(IF('Rate Table'!C25="",TRUE,'Rate Table'!C25&lt;'Rate Table'!D25),'Rate Table'!D25&lt;'Rate Table'!E25,'Rate Table'!E25&lt;'Rate Table'!F25,'Rate Table'!F25&lt;'Rate Table'!G25),"OK","FAIL")</f>
        <v/>
      </c>
      <c r="F25" s="24">
        <f>IF(OR('Rate Table'!C25="",'Rate Table'!C24=""),"—",IF('Rate Table'!C25&gt;='Rate Table'!C24,"OK","FAIL"))</f>
        <v/>
      </c>
      <c r="G25" s="24">
        <f>IF(OR('Rate Table'!D25="",'Rate Table'!D24=""),"—",IF('Rate Table'!D25&gt;='Rate Table'!D24,"OK","FAIL"))</f>
        <v/>
      </c>
      <c r="H25" s="24">
        <f>IF(OR('Rate Table'!E25="",'Rate Table'!E24=""),"—",IF('Rate Table'!E25&gt;='Rate Table'!E24,"OK","FAIL"))</f>
        <v/>
      </c>
      <c r="I25" s="24">
        <f>IF(OR('Rate Table'!F25="",'Rate Table'!F24=""),"—",IF('Rate Table'!F25&gt;='Rate Table'!F24,"OK","FAIL"))</f>
        <v/>
      </c>
      <c r="J25" s="24">
        <f>IF(OR('Rate Table'!G25="",'Rate Table'!G24=""),"—",IF('Rate Table'!G25&gt;='Rate Table'!G24,"OK","FAIL"))</f>
        <v/>
      </c>
    </row>
    <row r="26">
      <c r="A26" s="9">
        <f>'Rate Table'!A26</f>
        <v/>
      </c>
      <c r="B26" s="9">
        <f>'Rate Table'!B26</f>
        <v/>
      </c>
      <c r="C26" s="9">
        <f>ROUND('Rate Table'!G26-'Rate Table'!F26,2)</f>
        <v/>
      </c>
      <c r="D26" s="24">
        <f>IF(AND(C26&gt;=33,C26&lt;=33.1),"OK","FAIL")</f>
        <v/>
      </c>
      <c r="E26" s="24">
        <f>IF(AND(IF('Rate Table'!C26="",TRUE,'Rate Table'!C26&lt;'Rate Table'!D26),'Rate Table'!D26&lt;'Rate Table'!E26,'Rate Table'!E26&lt;'Rate Table'!F26,'Rate Table'!F26&lt;'Rate Table'!G26),"OK","FAIL")</f>
        <v/>
      </c>
      <c r="F26" s="24">
        <f>IF(OR('Rate Table'!C26="",'Rate Table'!C25=""),"—",IF('Rate Table'!C26&gt;='Rate Table'!C25,"OK","FAIL"))</f>
        <v/>
      </c>
      <c r="G26" s="24">
        <f>IF(OR('Rate Table'!D26="",'Rate Table'!D25=""),"—",IF('Rate Table'!D26&gt;='Rate Table'!D25,"OK","FAIL"))</f>
        <v/>
      </c>
      <c r="H26" s="24">
        <f>IF(OR('Rate Table'!E26="",'Rate Table'!E25=""),"—",IF('Rate Table'!E26&gt;='Rate Table'!E25,"OK","FAIL"))</f>
        <v/>
      </c>
      <c r="I26" s="24">
        <f>IF(OR('Rate Table'!F26="",'Rate Table'!F25=""),"—",IF('Rate Table'!F26&gt;='Rate Table'!F25,"OK","FAIL"))</f>
        <v/>
      </c>
      <c r="J26" s="24">
        <f>IF(OR('Rate Table'!G26="",'Rate Table'!G25=""),"—",IF('Rate Table'!G26&gt;='Rate Table'!G25,"OK","FAIL"))</f>
        <v/>
      </c>
    </row>
    <row r="27">
      <c r="A27" s="9">
        <f>'Rate Table'!A27</f>
        <v/>
      </c>
      <c r="B27" s="9">
        <f>'Rate Table'!B27</f>
        <v/>
      </c>
      <c r="C27" s="9">
        <f>ROUND('Rate Table'!G27-'Rate Table'!F27,2)</f>
        <v/>
      </c>
      <c r="D27" s="24">
        <f>IF(AND(C27&gt;=33,C27&lt;=33.1),"OK","FAIL")</f>
        <v/>
      </c>
      <c r="E27" s="24">
        <f>IF(AND(IF('Rate Table'!C27="",TRUE,'Rate Table'!C27&lt;'Rate Table'!D27),'Rate Table'!D27&lt;'Rate Table'!E27,'Rate Table'!E27&lt;'Rate Table'!F27,'Rate Table'!F27&lt;'Rate Table'!G27),"OK","FAIL")</f>
        <v/>
      </c>
      <c r="F27" s="24">
        <f>IF(OR('Rate Table'!C27="",'Rate Table'!C26=""),"—",IF('Rate Table'!C27&gt;='Rate Table'!C26,"OK","FAIL"))</f>
        <v/>
      </c>
      <c r="G27" s="24">
        <f>IF(OR('Rate Table'!D27="",'Rate Table'!D26=""),"—",IF('Rate Table'!D27&gt;='Rate Table'!D26,"OK","FAIL"))</f>
        <v/>
      </c>
      <c r="H27" s="24">
        <f>IF(OR('Rate Table'!E27="",'Rate Table'!E26=""),"—",IF('Rate Table'!E27&gt;='Rate Table'!E26,"OK","FAIL"))</f>
        <v/>
      </c>
      <c r="I27" s="24">
        <f>IF(OR('Rate Table'!F27="",'Rate Table'!F26=""),"—",IF('Rate Table'!F27&gt;='Rate Table'!F26,"OK","FAIL"))</f>
        <v/>
      </c>
      <c r="J27" s="24">
        <f>IF(OR('Rate Table'!G27="",'Rate Table'!G26=""),"—",IF('Rate Table'!G27&gt;='Rate Table'!G26,"OK","FAIL"))</f>
        <v/>
      </c>
    </row>
    <row r="28">
      <c r="A28" s="9">
        <f>'Rate Table'!A28</f>
        <v/>
      </c>
      <c r="B28" s="9">
        <f>'Rate Table'!B28</f>
        <v/>
      </c>
      <c r="C28" s="9">
        <f>ROUND('Rate Table'!G28-'Rate Table'!F28,2)</f>
        <v/>
      </c>
      <c r="D28" s="24">
        <f>IF(AND(C28&gt;=33,C28&lt;=33.1),"OK","FAIL")</f>
        <v/>
      </c>
      <c r="E28" s="24">
        <f>IF(AND(IF('Rate Table'!C28="",TRUE,'Rate Table'!C28&lt;'Rate Table'!D28),'Rate Table'!D28&lt;'Rate Table'!E28,'Rate Table'!E28&lt;'Rate Table'!F28,'Rate Table'!F28&lt;'Rate Table'!G28),"OK","FAIL")</f>
        <v/>
      </c>
      <c r="F28" s="24">
        <f>IF(OR('Rate Table'!C28="",'Rate Table'!C27=""),"—",IF('Rate Table'!C28&gt;='Rate Table'!C27,"OK","FAIL"))</f>
        <v/>
      </c>
      <c r="G28" s="24">
        <f>IF(OR('Rate Table'!D28="",'Rate Table'!D27=""),"—",IF('Rate Table'!D28&gt;='Rate Table'!D27,"OK","FAIL"))</f>
        <v/>
      </c>
      <c r="H28" s="24">
        <f>IF(OR('Rate Table'!E28="",'Rate Table'!E27=""),"—",IF('Rate Table'!E28&gt;='Rate Table'!E27,"OK","FAIL"))</f>
        <v/>
      </c>
      <c r="I28" s="24">
        <f>IF(OR('Rate Table'!F28="",'Rate Table'!F27=""),"—",IF('Rate Table'!F28&gt;='Rate Table'!F27,"OK","FAIL"))</f>
        <v/>
      </c>
      <c r="J28" s="24">
        <f>IF(OR('Rate Table'!G28="",'Rate Table'!G27=""),"—",IF('Rate Table'!G28&gt;='Rate Table'!G27,"OK","FAIL"))</f>
        <v/>
      </c>
    </row>
    <row r="29">
      <c r="A29" s="9">
        <f>'Rate Table'!A29</f>
        <v/>
      </c>
      <c r="B29" s="9">
        <f>'Rate Table'!B29</f>
        <v/>
      </c>
      <c r="C29" s="9">
        <f>ROUND('Rate Table'!G29-'Rate Table'!F29,2)</f>
        <v/>
      </c>
      <c r="D29" s="24">
        <f>IF(AND(C29&gt;=33,C29&lt;=33.1),"OK","FAIL")</f>
        <v/>
      </c>
      <c r="E29" s="24">
        <f>IF(AND(IF('Rate Table'!C29="",TRUE,'Rate Table'!C29&lt;'Rate Table'!D29),'Rate Table'!D29&lt;'Rate Table'!E29,'Rate Table'!E29&lt;'Rate Table'!F29,'Rate Table'!F29&lt;'Rate Table'!G29),"OK","FAIL")</f>
        <v/>
      </c>
      <c r="F29" s="24">
        <f>IF(OR('Rate Table'!C29="",'Rate Table'!C28=""),"—",IF('Rate Table'!C29&gt;='Rate Table'!C28,"OK","FAIL"))</f>
        <v/>
      </c>
      <c r="G29" s="24">
        <f>IF(OR('Rate Table'!D29="",'Rate Table'!D28=""),"—",IF('Rate Table'!D29&gt;='Rate Table'!D28,"OK","FAIL"))</f>
        <v/>
      </c>
      <c r="H29" s="24">
        <f>IF(OR('Rate Table'!E29="",'Rate Table'!E28=""),"—",IF('Rate Table'!E29&gt;='Rate Table'!E28,"OK","FAIL"))</f>
        <v/>
      </c>
      <c r="I29" s="24">
        <f>IF(OR('Rate Table'!F29="",'Rate Table'!F28=""),"—",IF('Rate Table'!F29&gt;='Rate Table'!F28,"OK","FAIL"))</f>
        <v/>
      </c>
      <c r="J29" s="24">
        <f>IF(OR('Rate Table'!G29="",'Rate Table'!G28=""),"—",IF('Rate Table'!G29&gt;='Rate Table'!G28,"OK","FAIL"))</f>
        <v/>
      </c>
    </row>
    <row r="30">
      <c r="A30" s="9">
        <f>'Rate Table'!A30</f>
        <v/>
      </c>
      <c r="B30" s="9">
        <f>'Rate Table'!B30</f>
        <v/>
      </c>
      <c r="C30" s="9">
        <f>ROUND('Rate Table'!G30-'Rate Table'!F30,2)</f>
        <v/>
      </c>
      <c r="D30" s="24">
        <f>IF(AND(C30&gt;=33,C30&lt;=33.1),"OK","FAIL")</f>
        <v/>
      </c>
      <c r="E30" s="24">
        <f>IF(AND(IF('Rate Table'!C30="",TRUE,'Rate Table'!C30&lt;'Rate Table'!D30),'Rate Table'!D30&lt;'Rate Table'!E30,'Rate Table'!E30&lt;'Rate Table'!F30,'Rate Table'!F30&lt;'Rate Table'!G30),"OK","FAIL")</f>
        <v/>
      </c>
      <c r="F30" s="24">
        <f>IF(OR('Rate Table'!C30="",'Rate Table'!C29=""),"—",IF('Rate Table'!C30&gt;='Rate Table'!C29,"OK","FAIL"))</f>
        <v/>
      </c>
      <c r="G30" s="24">
        <f>IF(OR('Rate Table'!D30="",'Rate Table'!D29=""),"—",IF('Rate Table'!D30&gt;='Rate Table'!D29,"OK","FAIL"))</f>
        <v/>
      </c>
      <c r="H30" s="24">
        <f>IF(OR('Rate Table'!E30="",'Rate Table'!E29=""),"—",IF('Rate Table'!E30&gt;='Rate Table'!E29,"OK","FAIL"))</f>
        <v/>
      </c>
      <c r="I30" s="24">
        <f>IF(OR('Rate Table'!F30="",'Rate Table'!F29=""),"—",IF('Rate Table'!F30&gt;='Rate Table'!F29,"OK","FAIL"))</f>
        <v/>
      </c>
      <c r="J30" s="24">
        <f>IF(OR('Rate Table'!G30="",'Rate Table'!G29=""),"—",IF('Rate Table'!G30&gt;='Rate Table'!G29,"OK","FAIL"))</f>
        <v/>
      </c>
    </row>
    <row r="31">
      <c r="A31" s="9">
        <f>'Rate Table'!A31</f>
        <v/>
      </c>
      <c r="B31" s="9">
        <f>'Rate Table'!B31</f>
        <v/>
      </c>
      <c r="C31" s="9">
        <f>ROUND('Rate Table'!G31-'Rate Table'!F31,2)</f>
        <v/>
      </c>
      <c r="D31" s="24">
        <f>IF(AND(C31&gt;=33,C31&lt;=33.1),"OK","FAIL")</f>
        <v/>
      </c>
      <c r="E31" s="24">
        <f>IF(AND(IF('Rate Table'!C31="",TRUE,'Rate Table'!C31&lt;'Rate Table'!D31),'Rate Table'!D31&lt;'Rate Table'!E31,'Rate Table'!E31&lt;'Rate Table'!F31,'Rate Table'!F31&lt;'Rate Table'!G31),"OK","FAIL")</f>
        <v/>
      </c>
      <c r="F31" s="24">
        <f>IF(OR('Rate Table'!C31="",'Rate Table'!C30=""),"—",IF('Rate Table'!C31&gt;='Rate Table'!C30,"OK","FAIL"))</f>
        <v/>
      </c>
      <c r="G31" s="24">
        <f>IF(OR('Rate Table'!D31="",'Rate Table'!D30=""),"—",IF('Rate Table'!D31&gt;='Rate Table'!D30,"OK","FAIL"))</f>
        <v/>
      </c>
      <c r="H31" s="24">
        <f>IF(OR('Rate Table'!E31="",'Rate Table'!E30=""),"—",IF('Rate Table'!E31&gt;='Rate Table'!E30,"OK","FAIL"))</f>
        <v/>
      </c>
      <c r="I31" s="24">
        <f>IF(OR('Rate Table'!F31="",'Rate Table'!F30=""),"—",IF('Rate Table'!F31&gt;='Rate Table'!F30,"OK","FAIL"))</f>
        <v/>
      </c>
      <c r="J31" s="24">
        <f>IF(OR('Rate Table'!G31="",'Rate Table'!G30=""),"—",IF('Rate Table'!G31&gt;='Rate Table'!G30,"OK","FAIL"))</f>
        <v/>
      </c>
    </row>
    <row r="32">
      <c r="A32" s="9">
        <f>'Rate Table'!A32</f>
        <v/>
      </c>
      <c r="B32" s="9">
        <f>'Rate Table'!B32</f>
        <v/>
      </c>
      <c r="C32" s="9">
        <f>ROUND('Rate Table'!G32-'Rate Table'!F32,2)</f>
        <v/>
      </c>
      <c r="D32" s="24">
        <f>IF(AND(C32&gt;=33,C32&lt;=33.1),"OK","FAIL")</f>
        <v/>
      </c>
      <c r="E32" s="24">
        <f>IF(AND(IF('Rate Table'!C32="",TRUE,'Rate Table'!C32&lt;'Rate Table'!D32),'Rate Table'!D32&lt;'Rate Table'!E32,'Rate Table'!E32&lt;'Rate Table'!F32,'Rate Table'!F32&lt;'Rate Table'!G32),"OK","FAIL")</f>
        <v/>
      </c>
      <c r="F32" s="24">
        <f>IF(OR('Rate Table'!C32="",'Rate Table'!C31=""),"—",IF('Rate Table'!C32&gt;='Rate Table'!C31,"OK","FAIL"))</f>
        <v/>
      </c>
      <c r="G32" s="24">
        <f>IF(OR('Rate Table'!D32="",'Rate Table'!D31=""),"—",IF('Rate Table'!D32&gt;='Rate Table'!D31,"OK","FAIL"))</f>
        <v/>
      </c>
      <c r="H32" s="24">
        <f>IF(OR('Rate Table'!E32="",'Rate Table'!E31=""),"—",IF('Rate Table'!E32&gt;='Rate Table'!E31,"OK","FAIL"))</f>
        <v/>
      </c>
      <c r="I32" s="24">
        <f>IF(OR('Rate Table'!F32="",'Rate Table'!F31=""),"—",IF('Rate Table'!F32&gt;='Rate Table'!F31,"OK","FAIL"))</f>
        <v/>
      </c>
      <c r="J32" s="24">
        <f>IF(OR('Rate Table'!G32="",'Rate Table'!G31=""),"—",IF('Rate Table'!G32&gt;='Rate Table'!G31,"OK","FAIL"))</f>
        <v/>
      </c>
    </row>
    <row r="33">
      <c r="A33" s="9">
        <f>'Rate Table'!A33</f>
        <v/>
      </c>
      <c r="B33" s="9">
        <f>'Rate Table'!B33</f>
        <v/>
      </c>
      <c r="C33" s="9">
        <f>ROUND('Rate Table'!G33-'Rate Table'!F33,2)</f>
        <v/>
      </c>
      <c r="D33" s="24">
        <f>IF(AND(C33&gt;=33,C33&lt;=33.1),"OK","FAIL")</f>
        <v/>
      </c>
      <c r="E33" s="24">
        <f>IF(AND(IF('Rate Table'!C33="",TRUE,'Rate Table'!C33&lt;'Rate Table'!D33),'Rate Table'!D33&lt;'Rate Table'!E33,'Rate Table'!E33&lt;'Rate Table'!F33,'Rate Table'!F33&lt;'Rate Table'!G33),"OK","FAIL")</f>
        <v/>
      </c>
      <c r="F33" s="24">
        <f>IF(OR('Rate Table'!C33="",'Rate Table'!C32=""),"—",IF('Rate Table'!C33&gt;='Rate Table'!C32,"OK","FAIL"))</f>
        <v/>
      </c>
      <c r="G33" s="24">
        <f>IF(OR('Rate Table'!D33="",'Rate Table'!D32=""),"—",IF('Rate Table'!D33&gt;='Rate Table'!D32,"OK","FAIL"))</f>
        <v/>
      </c>
      <c r="H33" s="24">
        <f>IF(OR('Rate Table'!E33="",'Rate Table'!E32=""),"—",IF('Rate Table'!E33&gt;='Rate Table'!E32,"OK","FAIL"))</f>
        <v/>
      </c>
      <c r="I33" s="24">
        <f>IF(OR('Rate Table'!F33="",'Rate Table'!F32=""),"—",IF('Rate Table'!F33&gt;='Rate Table'!F32,"OK","FAIL"))</f>
        <v/>
      </c>
      <c r="J33" s="24">
        <f>IF(OR('Rate Table'!G33="",'Rate Table'!G32=""),"—",IF('Rate Table'!G33&gt;='Rate Table'!G32,"OK","FAIL"))</f>
        <v/>
      </c>
    </row>
    <row r="34">
      <c r="A34" s="9">
        <f>'Rate Table'!A34</f>
        <v/>
      </c>
      <c r="B34" s="9">
        <f>'Rate Table'!B34</f>
        <v/>
      </c>
      <c r="C34" s="9">
        <f>ROUND('Rate Table'!G34-'Rate Table'!F34,2)</f>
        <v/>
      </c>
      <c r="D34" s="24">
        <f>IF(AND(C34&gt;=33,C34&lt;=33.1),"OK","FAIL")</f>
        <v/>
      </c>
      <c r="E34" s="24">
        <f>IF(AND(IF('Rate Table'!C34="",TRUE,'Rate Table'!C34&lt;'Rate Table'!D34),'Rate Table'!D34&lt;'Rate Table'!E34,'Rate Table'!E34&lt;'Rate Table'!F34,'Rate Table'!F34&lt;'Rate Table'!G34),"OK","FAIL")</f>
        <v/>
      </c>
      <c r="F34" s="24">
        <f>IF(OR('Rate Table'!C34="",'Rate Table'!C33=""),"—",IF('Rate Table'!C34&gt;='Rate Table'!C33,"OK","FAIL"))</f>
        <v/>
      </c>
      <c r="G34" s="24">
        <f>IF(OR('Rate Table'!D34="",'Rate Table'!D33=""),"—",IF('Rate Table'!D34&gt;='Rate Table'!D33,"OK","FAIL"))</f>
        <v/>
      </c>
      <c r="H34" s="24">
        <f>IF(OR('Rate Table'!E34="",'Rate Table'!E33=""),"—",IF('Rate Table'!E34&gt;='Rate Table'!E33,"OK","FAIL"))</f>
        <v/>
      </c>
      <c r="I34" s="24">
        <f>IF(OR('Rate Table'!F34="",'Rate Table'!F33=""),"—",IF('Rate Table'!F34&gt;='Rate Table'!F33,"OK","FAIL"))</f>
        <v/>
      </c>
      <c r="J34" s="24">
        <f>IF(OR('Rate Table'!G34="",'Rate Table'!G33=""),"—",IF('Rate Table'!G34&gt;='Rate Table'!G33,"OK","FAIL"))</f>
        <v/>
      </c>
    </row>
    <row r="35">
      <c r="A35" s="9">
        <f>'Rate Table'!A35</f>
        <v/>
      </c>
      <c r="B35" s="9">
        <f>'Rate Table'!B35</f>
        <v/>
      </c>
      <c r="C35" s="9">
        <f>ROUND('Rate Table'!G35-'Rate Table'!F35,2)</f>
        <v/>
      </c>
      <c r="D35" s="24">
        <f>IF(AND(C35&gt;=33,C35&lt;=33.1),"OK","FAIL")</f>
        <v/>
      </c>
      <c r="E35" s="24">
        <f>IF(AND(IF('Rate Table'!C35="",TRUE,'Rate Table'!C35&lt;'Rate Table'!D35),'Rate Table'!D35&lt;'Rate Table'!E35,'Rate Table'!E35&lt;'Rate Table'!F35,'Rate Table'!F35&lt;'Rate Table'!G35),"OK","FAIL")</f>
        <v/>
      </c>
      <c r="F35" s="24">
        <f>IF(OR('Rate Table'!C35="",'Rate Table'!C34=""),"—",IF('Rate Table'!C35&gt;='Rate Table'!C34,"OK","FAIL"))</f>
        <v/>
      </c>
      <c r="G35" s="24">
        <f>IF(OR('Rate Table'!D35="",'Rate Table'!D34=""),"—",IF('Rate Table'!D35&gt;='Rate Table'!D34,"OK","FAIL"))</f>
        <v/>
      </c>
      <c r="H35" s="24">
        <f>IF(OR('Rate Table'!E35="",'Rate Table'!E34=""),"—",IF('Rate Table'!E35&gt;='Rate Table'!E34,"OK","FAIL"))</f>
        <v/>
      </c>
      <c r="I35" s="24">
        <f>IF(OR('Rate Table'!F35="",'Rate Table'!F34=""),"—",IF('Rate Table'!F35&gt;='Rate Table'!F34,"OK","FAIL"))</f>
        <v/>
      </c>
      <c r="J35" s="24">
        <f>IF(OR('Rate Table'!G35="",'Rate Table'!G34=""),"—",IF('Rate Table'!G35&gt;='Rate Table'!G34,"OK","FAIL"))</f>
        <v/>
      </c>
    </row>
    <row r="36">
      <c r="A36" s="9">
        <f>'Rate Table'!A36</f>
        <v/>
      </c>
      <c r="B36" s="9">
        <f>'Rate Table'!B36</f>
        <v/>
      </c>
      <c r="C36" s="9">
        <f>ROUND('Rate Table'!G36-'Rate Table'!F36,2)</f>
        <v/>
      </c>
      <c r="D36" s="24">
        <f>IF(AND(C36&gt;=33,C36&lt;=33.1),"OK","FAIL")</f>
        <v/>
      </c>
      <c r="E36" s="24">
        <f>IF(AND(IF('Rate Table'!C36="",TRUE,'Rate Table'!C36&lt;'Rate Table'!D36),'Rate Table'!D36&lt;'Rate Table'!E36,'Rate Table'!E36&lt;'Rate Table'!F36,'Rate Table'!F36&lt;'Rate Table'!G36),"OK","FAIL")</f>
        <v/>
      </c>
      <c r="F36" s="24">
        <f>IF(OR('Rate Table'!C36="",'Rate Table'!C35=""),"—",IF('Rate Table'!C36&gt;='Rate Table'!C35,"OK","FAIL"))</f>
        <v/>
      </c>
      <c r="G36" s="24">
        <f>IF(OR('Rate Table'!D36="",'Rate Table'!D35=""),"—",IF('Rate Table'!D36&gt;='Rate Table'!D35,"OK","FAIL"))</f>
        <v/>
      </c>
      <c r="H36" s="24">
        <f>IF(OR('Rate Table'!E36="",'Rate Table'!E35=""),"—",IF('Rate Table'!E36&gt;='Rate Table'!E35,"OK","FAIL"))</f>
        <v/>
      </c>
      <c r="I36" s="24">
        <f>IF(OR('Rate Table'!F36="",'Rate Table'!F35=""),"—",IF('Rate Table'!F36&gt;='Rate Table'!F35,"OK","FAIL"))</f>
        <v/>
      </c>
      <c r="J36" s="24">
        <f>IF(OR('Rate Table'!G36="",'Rate Table'!G35=""),"—",IF('Rate Table'!G36&gt;='Rate Table'!G35,"OK","FAIL"))</f>
        <v/>
      </c>
    </row>
    <row r="37">
      <c r="A37" s="9">
        <f>'Rate Table'!A37</f>
        <v/>
      </c>
      <c r="B37" s="9">
        <f>'Rate Table'!B37</f>
        <v/>
      </c>
      <c r="C37" s="9">
        <f>ROUND('Rate Table'!G37-'Rate Table'!F37,2)</f>
        <v/>
      </c>
      <c r="D37" s="24">
        <f>IF(AND(C37&gt;=33,C37&lt;=33.1),"OK","FAIL")</f>
        <v/>
      </c>
      <c r="E37" s="24">
        <f>IF(AND(IF('Rate Table'!C37="",TRUE,'Rate Table'!C37&lt;'Rate Table'!D37),'Rate Table'!D37&lt;'Rate Table'!E37,'Rate Table'!E37&lt;'Rate Table'!F37,'Rate Table'!F37&lt;'Rate Table'!G37),"OK","FAIL")</f>
        <v/>
      </c>
      <c r="F37" s="24">
        <f>IF(OR('Rate Table'!C37="",'Rate Table'!C36=""),"—",IF('Rate Table'!C37&gt;='Rate Table'!C36,"OK","FAIL"))</f>
        <v/>
      </c>
      <c r="G37" s="24">
        <f>IF(OR('Rate Table'!D37="",'Rate Table'!D36=""),"—",IF('Rate Table'!D37&gt;='Rate Table'!D36,"OK","FAIL"))</f>
        <v/>
      </c>
      <c r="H37" s="24">
        <f>IF(OR('Rate Table'!E37="",'Rate Table'!E36=""),"—",IF('Rate Table'!E37&gt;='Rate Table'!E36,"OK","FAIL"))</f>
        <v/>
      </c>
      <c r="I37" s="24">
        <f>IF(OR('Rate Table'!F37="",'Rate Table'!F36=""),"—",IF('Rate Table'!F37&gt;='Rate Table'!F36,"OK","FAIL"))</f>
        <v/>
      </c>
      <c r="J37" s="24">
        <f>IF(OR('Rate Table'!G37="",'Rate Table'!G36=""),"—",IF('Rate Table'!G37&gt;='Rate Table'!G36,"OK","FAIL"))</f>
        <v/>
      </c>
    </row>
    <row r="38">
      <c r="A38" s="9">
        <f>'Rate Table'!A38</f>
        <v/>
      </c>
      <c r="B38" s="9">
        <f>'Rate Table'!B38</f>
        <v/>
      </c>
      <c r="C38" s="9">
        <f>ROUND('Rate Table'!G38-'Rate Table'!F38,2)</f>
        <v/>
      </c>
      <c r="D38" s="24">
        <f>IF(AND(C38&gt;=33,C38&lt;=33.1),"OK","FAIL")</f>
        <v/>
      </c>
      <c r="E38" s="24">
        <f>IF(AND(IF('Rate Table'!C38="",TRUE,'Rate Table'!C38&lt;'Rate Table'!D38),'Rate Table'!D38&lt;'Rate Table'!E38,'Rate Table'!E38&lt;'Rate Table'!F38,'Rate Table'!F38&lt;'Rate Table'!G38),"OK","FAIL")</f>
        <v/>
      </c>
      <c r="F38" s="24">
        <f>IF(OR('Rate Table'!C38="",'Rate Table'!C37=""),"—",IF('Rate Table'!C38&gt;='Rate Table'!C37,"OK","FAIL"))</f>
        <v/>
      </c>
      <c r="G38" s="24">
        <f>IF(OR('Rate Table'!D38="",'Rate Table'!D37=""),"—",IF('Rate Table'!D38&gt;='Rate Table'!D37,"OK","FAIL"))</f>
        <v/>
      </c>
      <c r="H38" s="24">
        <f>IF(OR('Rate Table'!E38="",'Rate Table'!E37=""),"—",IF('Rate Table'!E38&gt;='Rate Table'!E37,"OK","FAIL"))</f>
        <v/>
      </c>
      <c r="I38" s="24">
        <f>IF(OR('Rate Table'!F38="",'Rate Table'!F37=""),"—",IF('Rate Table'!F38&gt;='Rate Table'!F37,"OK","FAIL"))</f>
        <v/>
      </c>
      <c r="J38" s="24">
        <f>IF(OR('Rate Table'!G38="",'Rate Table'!G37=""),"—",IF('Rate Table'!G38&gt;='Rate Table'!G37,"OK","FAIL"))</f>
        <v/>
      </c>
    </row>
    <row r="40">
      <c r="A40" s="17" t="inlineStr">
        <is>
          <t>FAIL 합계 (전체)</t>
        </is>
      </c>
      <c r="B40" s="17">
        <f>COUNTIF(D5:J38,"FAIL")</f>
        <v/>
      </c>
      <c r="C40" s="25" t="inlineStr">
        <is>
          <t>D23·J24 는 아래 '알려진 원본 이상치'가 만드는 것 — 전사 오류 아님</t>
        </is>
      </c>
    </row>
    <row r="41">
      <c r="A41" s="17" t="inlineStr">
        <is>
          <t>신규 FAIL (알려진 이상치 제외)</t>
        </is>
      </c>
      <c r="B41" s="17">
        <f>B40-COUNTIF(D23:D23,"FAIL")-COUNTIF(J24:J24,"FAIL")</f>
        <v/>
      </c>
      <c r="C41" s="26">
        <f>IF(B41=0,"신규 FAIL 없음 — 원본과 일치","⚠ 신규 FAIL 발생 — 해당 셀을 원본 PDF와 대조하세요")</f>
        <v/>
      </c>
    </row>
    <row r="43">
      <c r="A43" s="13" t="inlineStr">
        <is>
          <t>알려진 원본 이상치</t>
        </is>
      </c>
      <c r="B43" s="12" t="inlineStr">
        <is>
          <t>$894.00–$968.00 행의 Sat-Overnight = $870.94. 11배 확대로 재확인함 — 전사 오류 아니라 원본 값. 다른 33개 행은 모두 1-Day + $33.07~33.08 이므로 기대값은 $780.94. FedEx 확인 필요.</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16" customWidth="1" min="1" max="1"/>
    <col width="108" customWidth="1" min="2" max="2"/>
  </cols>
  <sheetData>
    <row r="1">
      <c r="A1" s="1" t="inlineStr">
        <is>
          <t>출처 · 전사 방법 · 확인 필요 항목</t>
        </is>
      </c>
    </row>
    <row r="3" ht="15" customHeight="1">
      <c r="A3" s="27" t="inlineStr">
        <is>
          <t>출처</t>
        </is>
      </c>
      <c r="B3" s="28" t="inlineStr">
        <is>
          <t>FedEx가 보낸 요금표 PDF (fc0c0399-1.pdf, 1페이지). Kai 제공, 2026-09-10.</t>
        </is>
      </c>
    </row>
    <row r="4" ht="26" customHeight="1">
      <c r="A4" s="27" t="inlineStr">
        <is>
          <t>유효성</t>
        </is>
      </c>
      <c r="B4" s="28" t="inlineStr">
        <is>
          <t>현재 유효한 표 — Kai 확인 2026-09-13. 문서 자체에는 발효일자 표기가 없으므로, FedEx가 새 요금표를 보내오면 Rate Table 시트를 갱신하고 이 줄의 날짜를 함께 고칠 것.</t>
        </is>
      </c>
    </row>
    <row r="5" ht="15" customHeight="1">
      <c r="A5" s="27" t="inlineStr">
        <is>
          <t>적용 범위</t>
        </is>
      </c>
      <c r="B5" s="28" t="inlineStr">
        <is>
          <t>출발 시설·존(zone) 구분 없는 단일 표. GA/NJ/TX/NV/CA 어디서 나가든 같은 요금으로 적용.</t>
        </is>
      </c>
    </row>
    <row r="6" ht="15" customHeight="1">
      <c r="A6" s="27" t="inlineStr">
        <is>
          <t>전사 방법</t>
        </is>
      </c>
      <c r="B6" s="28" t="inlineStr">
        <is>
          <t>PDF에 텍스트 레이어가 없어(글자가 전부 벡터 외곽선) 자동 추출 불가. 5배 렌더링 후 7개 밴드로 나눠 육안 전사, 이상 셀은 8~11배로 재확인.</t>
        </is>
      </c>
    </row>
    <row r="7" ht="26" customHeight="1">
      <c r="A7" s="27" t="inlineStr">
        <is>
          <t>검증 1차</t>
        </is>
      </c>
      <c r="B7" s="28" t="inlineStr">
        <is>
          <t>170칸 중 공란 3칸 제외 167개 값. Sat−1Day=$33.07 불변식이 34행 중 33행에서 성립, 전 열 단조 증가, 전 행 등급 순서 정상. Verification 시트에 수식으로 남김.</t>
        </is>
      </c>
    </row>
    <row r="8" ht="26" customHeight="1">
      <c r="A8" s="27" t="inlineStr">
        <is>
          <t>검증 2차</t>
        </is>
      </c>
      <c r="B8" s="28" t="inlineStr">
        <is>
          <t>1차 검사는 3-Day 컬럼을 단조성으로만 커버해 가장 약했음. 9배 렌더로 From·Ground·3-Day·2-Day를 1차와 별개로 다시 판독해 136셀 대조 — 불일치 0. 해당 컬럼 확정.</t>
        </is>
      </c>
    </row>
    <row r="9" ht="15" customHeight="1">
      <c r="A9" s="27" t="inlineStr">
        <is>
          <t>수식 검증</t>
        </is>
      </c>
      <c r="B9" s="28" t="inlineStr">
        <is>
          <t>942개 수식 셀 전체 평가, 오류 0. 파이썬 독립 계산과 표본 대조 일치. (LibreOffice가 이 환경에서 동작하지 않아 formulas 엔진으로 평가함)</t>
        </is>
      </c>
    </row>
    <row r="11" ht="15" customHeight="1">
      <c r="A11" s="27" t="inlineStr">
        <is>
          <t>확인 필요 1</t>
        </is>
      </c>
      <c r="B11" s="28" t="inlineStr">
        <is>
          <t>Ground 요금 공란 — $37.00~$52.00, $52.00~$74.00, $74.00~$98.00 세 구간. 무료배송인지 Ground 미제공인지? (Danny)</t>
        </is>
      </c>
    </row>
    <row r="12" ht="15" customHeight="1">
      <c r="A12" s="27" t="inlineStr">
        <is>
          <t>확인 필요 2</t>
        </is>
      </c>
      <c r="B12" s="28" t="inlineStr">
        <is>
          <t>$894.00–$968.00 구간 Sat-Overnight = $870.94. 규칙대로면 $780.94. 원본 오타 의심. (FedEx/Danny)</t>
        </is>
      </c>
    </row>
    <row r="13" ht="15" customHeight="1">
      <c r="A13" s="27" t="inlineStr">
        <is>
          <t>확인 필요 3</t>
        </is>
      </c>
      <c r="B13" s="28" t="inlineStr">
        <is>
          <t>구간 틈 2곳 — $98.00~$98.01, $521.00~$522.00. 경계 금액이 어느 구간인지. 이 파일은 'From ≤ 금액' 규칙으로 아래 구간에 흡수.</t>
        </is>
      </c>
    </row>
    <row r="14" ht="26" customHeight="1">
      <c r="A14" s="27" t="inlineStr">
        <is>
          <t>확정</t>
        </is>
      </c>
      <c r="B14" s="28" t="inlineStr">
        <is>
          <t>조회 기준 = 주문 subtotal (세금 전, 배송비 제외). Kai 확인 2026-09-10. 업그레이드 추가요금을 더해도 조회 구간이 바뀌지 않으므로 재계산 문제 없음.</t>
        </is>
      </c>
    </row>
    <row r="16" ht="15" customHeight="1">
      <c r="A16" s="27" t="inlineStr">
        <is>
          <t>자동화 제외</t>
        </is>
      </c>
      <c r="B16" s="28" t="inlineStr">
        <is>
          <t>NEXT DAY STANDARD / NEXT DAY EARLY 8:30AM — 원본에 'VARIES BY LOC.'로만 표기, 요금값 없음.</t>
        </is>
      </c>
    </row>
    <row r="17" ht="26" customHeight="1">
      <c r="A17" s="27" t="inlineStr">
        <is>
          <t>조건부</t>
        </is>
      </c>
      <c r="B17" s="28" t="inlineStr">
        <is>
          <t>SAT-OVERNIGHT — 원본 주석: 모든 도시에서 가능하지 않으니 결제 전 확인. Saturday 옵션은 금요일 Express 주문에만. Ground도 토요일 배송이 되는 경우가 있음.</t>
        </is>
      </c>
    </row>
    <row r="19" ht="52" customHeight="1">
      <c r="A19" s="27" t="inlineStr">
        <is>
          <t>원본 주석</t>
        </is>
      </c>
      <c r="B19" s="28" t="inlineStr">
        <is>
          <t>Ground shipping is not a guaranteed service, but once "In transit", FEDEX guarantees the package will arrive by the ETA on their site. So, we cannot guarantee when the package will arrive before it ships out, but we can state, once UPS provides an ETA, they guarantee it will deliver by that time.</t>
        </is>
      </c>
    </row>
    <row r="20" ht="39" customHeight="1">
      <c r="A20" s="27" t="inlineStr">
        <is>
          <t>원본 주석</t>
        </is>
      </c>
      <c r="B20" s="28" t="inlineStr">
        <is>
          <t>IMPORTANT NOTE: Saturday options is not available for all cities, please check before taking payment. Saturday Option is only available on Friday for Express orders. Ground shipping does deliver on Saturdays sometimes.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2026-09-13T01:42:06Z</dcterms:created>
  <dcterms:modified xsi:type="dcterms:W3CDTF">2026-09-13T01:42:07Z</dcterms:modified>
</cp:coreProperties>
</file>